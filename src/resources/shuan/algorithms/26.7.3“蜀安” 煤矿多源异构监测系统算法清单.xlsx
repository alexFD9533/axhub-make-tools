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5"/>
  <workbookPr/>
  <mc:AlternateContent xmlns:mc="http://schemas.openxmlformats.org/markup-compatibility/2006">
    <mc:Choice Requires="x15">
      <x15ac:absPath xmlns:x15ac="http://schemas.microsoft.com/office/spreadsheetml/2010/11/ac" url="C:\Users\nda123\Desktop\"/>
    </mc:Choice>
  </mc:AlternateContent>
  <xr:revisionPtr revIDLastSave="0" documentId="13_ncr:1_{BE297744-B9B1-4448-87A4-14F323CF7AEF}" xr6:coauthVersionLast="47" xr6:coauthVersionMax="47" xr10:uidLastSave="{00000000-0000-0000-0000-000000000000}"/>
  <bookViews>
    <workbookView xWindow="-120" yWindow="-120" windowWidth="29040" windowHeight="15720" xr2:uid="{00000000-000D-0000-FFFF-FFFF00000000}"/>
  </bookViews>
  <sheets>
    <sheet name="四川添加算发清单 (3)" sheetId="6" r:id="rId1"/>
    <sheet name="国家局算发清单" sheetId="4"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4" l="1"/>
  <c r="A18" i="4"/>
  <c r="A17" i="4"/>
  <c r="A16" i="4"/>
  <c r="A15" i="4"/>
  <c r="A14" i="4"/>
  <c r="A13" i="4"/>
  <c r="A12" i="4"/>
  <c r="A11" i="4"/>
  <c r="A10" i="4"/>
  <c r="A9" i="4"/>
  <c r="A8" i="4"/>
  <c r="A7" i="4"/>
  <c r="A6" i="4"/>
  <c r="A5" i="4"/>
  <c r="A4" i="4"/>
  <c r="A3" i="4"/>
  <c r="A2" i="4"/>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alcChain>
</file>

<file path=xl/sharedStrings.xml><?xml version="1.0" encoding="utf-8"?>
<sst xmlns="http://schemas.openxmlformats.org/spreadsheetml/2006/main" count="308" uniqueCount="154">
  <si>
    <t>“蜀安” 煤矿多源异构监测系统算法清单</t>
  </si>
  <si>
    <t>序号</t>
  </si>
  <si>
    <t>大类</t>
  </si>
  <si>
    <t>算法名称</t>
  </si>
  <si>
    <t>算法描述</t>
  </si>
  <si>
    <t>单位</t>
  </si>
  <si>
    <t>数量</t>
  </si>
  <si>
    <t>备注</t>
  </si>
  <si>
    <t>管住电</t>
  </si>
  <si>
    <t>吨煤电耗变化异常</t>
  </si>
  <si>
    <t>单位产量耗电量远超行业基准或企业历史水平，形成 "高能耗低申报" 矛盾</t>
  </si>
  <si>
    <t>项</t>
  </si>
  <si>
    <t>已开发</t>
  </si>
  <si>
    <t>负荷结构异常</t>
  </si>
  <si>
    <t>识别包括采掘设备、通风系统、排水系统、运输系统 、提升系统等重大设备的用电占比异常升高、负荷比例失衡的现象，包括结合重大设备的运行状态和功率数据的用电量估算算法进行校验。</t>
  </si>
  <si>
    <t>时间维度异常</t>
  </si>
  <si>
    <t>识别停产/检修期间出现规律性用电高峰</t>
  </si>
  <si>
    <t>管住风</t>
  </si>
  <si>
    <t>开停组停运异常</t>
  </si>
  <si>
    <t>识别局扇开停、主扇开停、地面瓦斯抽放泵开停等开停传感器组异常停止的情况</t>
  </si>
  <si>
    <t>局部通风机切换异常</t>
  </si>
  <si>
    <t>煤矿每天（24小时）至少需要做一次局部通风机切换试验，若未做视为异常情况进行预警</t>
  </si>
  <si>
    <t>风速设置异常</t>
  </si>
  <si>
    <t>识别风速传感器量程、报警上下限的设置不符合规范的情况</t>
  </si>
  <si>
    <t>风量变化异常</t>
  </si>
  <si>
    <t>结合企业合法工作面开工与完工，企业通风系统调整上报管理，识别总回或采盘区总回发生风量突增或突减，值大于区域内任意一个合法工作面所需风量时，无合法工作面开工与完工，无通风系统调整上报时触发预警</t>
  </si>
  <si>
    <t>用风异常</t>
  </si>
  <si>
    <t>矿井总回风量明显超过所有合法用风地点的需风量总和</t>
  </si>
  <si>
    <t>风速变化异常</t>
  </si>
  <si>
    <t>结合人员定位数据分析在监管人员下井检查前后，发生的大范围负压风速同时出现大幅度变化或者总回风速发生变化</t>
  </si>
  <si>
    <t>停风逻辑异常</t>
  </si>
  <si>
    <t>识别局扇、主扇同时停止后对应的风筒传感器（局扇）、风速传感器、负压传感器未出现数值/状态变化的情况</t>
  </si>
  <si>
    <t>管住煤</t>
  </si>
  <si>
    <t>煤量比对异常</t>
  </si>
  <si>
    <t>主运输皮带原煤量相比历史产量异常升高，与合法工作面出煤量比对异常</t>
  </si>
  <si>
    <t>运煤车辆出入异常</t>
  </si>
  <si>
    <t>结合煤矿主要出入口运煤车辆的AI视频分析结果，与煤矿生产状态相比严重不符异常</t>
  </si>
  <si>
    <t>工作面产量异常</t>
  </si>
  <si>
    <t>正常生产矿，合法工作面出煤量比对合法工作面日推进度换算后的产量差异超过阈值触发预警</t>
  </si>
  <si>
    <t>管住人</t>
  </si>
  <si>
    <t>人员超时未升井</t>
  </si>
  <si>
    <t>井下工作人员前3周每天都正常出入井，最近1周没有下井，且之前出井时间为空的人员</t>
  </si>
  <si>
    <t>带班领导井下交接班异常</t>
  </si>
  <si>
    <t>《煤矿领导带班下井及安全监督检查规定》文件中第十条规定：“煤矿领导带班下井实行井下交接班制度。上一班的带班领导应当在井下向接班的领导详细说明井下安全状况、存在的问题及原因、需要注意的事项等，并认真填写交接班记录簿。”本算法实现对带班领导交接班异常情况进行告警。具体可查看到交班人及接班人的时间轴及经过区域情况</t>
  </si>
  <si>
    <t>人员井下采掘区域巡检异常</t>
  </si>
  <si>
    <t>《煤矿领导带班下井及安全监督检查规定》文件中第九条第一项规定：“煤矿领导带班下井时，应当履行下列职责：（一）加强对采煤、掘进、通风等重点部位、关键环节的检查巡视，全面掌握当班井下的安全生产状况；”本算法可实现对带班领导人员巡检异常情况进行告警：具体为采掘一线区域停留时长过短或者未经过采掘一线区域情况。用户可配置带班领导采掘停留规则（如按百分比法或者阈值法），可配置重点区域“关键字”（命中关键字信息视为经过采掘一线）等信息，根据配置情况显示告警数据，根据告警可查看具体轨迹明细，可查看每条轨迹、是否是重点区域、停留时长是多少等</t>
  </si>
  <si>
    <t>人员月下井次数达标分析</t>
  </si>
  <si>
    <t>《煤矿领导带班下井及安全监督检查规定》文件中第七条规定：“煤矿的主要负责人每月带班下井不得少于5个。”本算法可实现对主要负责人员月下井次数达标情况进行告警，用户可配置不同工种单个班次下井有效时长、单月下井次数等信息，根据配置情况显示告警数据，根据告警可查看月下井次数明细，具体到日维度的出入井时间、位置，下井时长等</t>
  </si>
  <si>
    <t>安全员脱岗</t>
  </si>
  <si>
    <t>工作面作业期间安全员长时间脱岗</t>
  </si>
  <si>
    <t>人员停留异常</t>
  </si>
  <si>
    <t>定位卡长期滞留在非作业读卡基站，疑似作业人员未携带定位卡进入隐蔽工作面作业</t>
  </si>
  <si>
    <t>疑似未带卡</t>
  </si>
  <si>
    <t>结合井下主要出入通道的人数和人流AI视频分析数据和精确人员定位数据，识别人数不匹配疑似未带卡或作业</t>
  </si>
  <si>
    <t>疑似一人多卡</t>
  </si>
  <si>
    <t>对煤矿带班领导⼊井履职情况进⾏智能分析，识别是否存在⼀⼈多卡或定位卡⻓时间静⽌的情况；</t>
  </si>
  <si>
    <t>管住瓦斯</t>
  </si>
  <si>
    <t>瓦斯涌出量异常</t>
  </si>
  <si>
    <t>识别采掘工作面的平均瓦斯涌出量、日瓦斯涌出增量超过临界值的异常情况，支持一矿一策、一面一策</t>
  </si>
  <si>
    <t>瓦斯变化异常</t>
  </si>
  <si>
    <t>识别甲烷监测值满足临界值法、增幅法等规则的异常变化情况，支持一矿一策、一面一策</t>
  </si>
  <si>
    <t>管道流量异常</t>
  </si>
  <si>
    <t>识别监测值满足临界值法、增幅法等规则的异常变化情况，支持一矿一策、一面一策</t>
  </si>
  <si>
    <t>管道压力异常</t>
  </si>
  <si>
    <t>瓦斯日分析异常</t>
  </si>
  <si>
    <t>识别对于某一瓦斯传感器的当日瓦斯监测值，与前两日（可配置）的监测值进行对比，同一瓦斯传感器在一天内的瓦斯监测值最大值变化幅度大于前两天的情况。</t>
  </si>
  <si>
    <t>甲烷定义设置异常</t>
  </si>
  <si>
    <t>识别甲烷传感器量程、报警值、断电值、复电值的设置不符合规范的情况</t>
  </si>
  <si>
    <t>闭锁周期异常</t>
  </si>
  <si>
    <t>识别甲烷电闭锁未按指定周期(15天)进行闭锁试验的情况。</t>
  </si>
  <si>
    <t>新增</t>
  </si>
  <si>
    <t>瓦斯涌出量不匹配</t>
  </si>
  <si>
    <t>识别矿井一天的总回绝对瓦斯涌出量合计与井下工作面绝对瓦斯涌出量合计不匹配的情况</t>
  </si>
  <si>
    <t>超限报警未上传</t>
  </si>
  <si>
    <t>识别煤矿井下违规设置甲烷传感器报警阈值，导致瓦斯监测值达到规定超限报警值时未进行报警的情况</t>
  </si>
  <si>
    <t>打钻甲烷逻辑异常</t>
  </si>
  <si>
    <t>识别当井下存在打钻作业时，施钻点甲烷和风流中的其他甲烷传感器监测值变化幅度不一致的逻辑异常</t>
  </si>
  <si>
    <t>逻辑异常</t>
  </si>
  <si>
    <t>识别工作面回风流甲烷之间监测值变化率不一致的情况；识别工作面进风流比回风流甲烷监测值高的情况</t>
  </si>
  <si>
    <t>瓦斯恒值异常</t>
  </si>
  <si>
    <t>识别甲烷监测值长时间不变的异常情况，支持一矿一策、一面一策</t>
  </si>
  <si>
    <t>陡升陡降</t>
  </si>
  <si>
    <t>针对煤矿一键替换传感器问题，导致传感器监测值陡升陡降，设置阈值进行智能分析</t>
  </si>
  <si>
    <t>异常断线</t>
  </si>
  <si>
    <t>识别甲烷传感器监测值上升过程中发生的传感器拆除、故障、系统断线的情况</t>
  </si>
  <si>
    <t>异常标校</t>
  </si>
  <si>
    <t>识别甲烷传感器进入短时间标校后监测值异常下降的情况；识别甲烷传感器长时间处于标校态的情况</t>
  </si>
  <si>
    <t>馈电异常</t>
  </si>
  <si>
    <t>识别甲烷电闭锁、风电闭锁、故障闭锁时馈电传感器有电的现象。</t>
  </si>
  <si>
    <t>传感器配置异常</t>
  </si>
  <si>
    <t>分析煤矿上传的测点定义数据，各个字段配置是否正确，例如，测点定义是甲烷传感器，可分析类型编码是否正确，单位是否正确，分析的字段可扩展</t>
  </si>
  <si>
    <t>其他</t>
  </si>
  <si>
    <t>视频未安装</t>
  </si>
  <si>
    <t>识别地面和井下关键点位传感器缺失情况</t>
  </si>
  <si>
    <t>视频断线</t>
  </si>
  <si>
    <t>识别地面和井下关键点位视频长时间断线的情况。</t>
  </si>
  <si>
    <t>一氧化碳标校周期异常</t>
  </si>
  <si>
    <t>识别一氧化碳传感器未按指定周期(30天)进行标校的情况。</t>
  </si>
  <si>
    <t>一氧化碳异常</t>
  </si>
  <si>
    <t>识别环境一氧化碳、管道一氧化碳传感器监测值满足临界值法、增幅法等规则的异常变化情况，支持一矿一策、一面一策。</t>
  </si>
  <si>
    <t>线索综合分析</t>
  </si>
  <si>
    <t>时间窗口关联算法</t>
  </si>
  <si>
    <t>按班次、小时、日、近7天、近30天等窗口聚合，判断线索时间重叠、连续出现和集中爆发。</t>
  </si>
  <si>
    <t>对象一致性关联算法</t>
  </si>
  <si>
    <t>对人员编号、设备编号、测点编号、班组、车辆、工作面编码等对象字段进行比对。</t>
  </si>
  <si>
    <t>多源印证算法</t>
  </si>
  <si>
    <t>判断管住人、管住电、管住煤、管住风、管住瓦斯、视频、数据质量等多类线索是否共同升高。</t>
  </si>
  <si>
    <t>历史问题复现算法</t>
  </si>
  <si>
    <t>将当前线索与历史检查问题、整改复核记录、重复异常区域和历史高风险周期进行比对。</t>
  </si>
  <si>
    <t>数据质量评分修正算法</t>
  </si>
  <si>
    <t>根据近期企业数据质量评分情况，动态修正各类线索的评分权重</t>
  </si>
  <si>
    <t>线索有效性修正算法</t>
  </si>
  <si>
    <t>根据核查误报、现象属实、风险相关、现象属实-合理原因、无法确认、持续出现等状态修正线索有效性，从而修正煤矿相关风险的评级。</t>
  </si>
  <si>
    <t>综合风险评分算法</t>
  </si>
  <si>
    <t>按线索基础分、关联增强分、回流修正分汇总形成煤矿综合风险分，并映射低/中/高风险等级。</t>
  </si>
  <si>
    <t>分类</t>
  </si>
  <si>
    <t>安全监控数据高风险</t>
  </si>
  <si>
    <t>瓦斯恒值</t>
  </si>
  <si>
    <t>高瓦斯及突出矿井采掘面位置瓦斯传感器值7天恒值，关联位置其他传感器有变化且井下有采煤或掘进工</t>
  </si>
  <si>
    <t>标校持续时间超过1h，或标校过程中最大值未达到上限断电门限</t>
  </si>
  <si>
    <t>超限未撤人</t>
  </si>
  <si>
    <t>超限持续5分钟且最大值&gt;=1%的瓦斯超限报警，在措施中提到“全矿撤人”，但全矿井实际人数在报警发生后一段时间没有明显变化，对于局部撤人且已安装精准定位系统的矿井，在报警发生后，报警区域人数无明显变化。疑似未按照要求及时撤出危险区域作业人员。</t>
  </si>
  <si>
    <t>报警原因不合理</t>
  </si>
  <si>
    <t>针对甲烷及一氧化碳超限报警，填报原因为：故障、跌落、撞击、误报等，但相邻位置测点在报警时刻前后有同步变化，疑似隐瞒真实报警。</t>
  </si>
  <si>
    <t>疑似地面标校</t>
  </si>
  <si>
    <t>井下不同安装位置甲烷、一氧化碳测点标校的开始时间相同、结束时间相同、或开始和结束时间都相同的瓦斯标校过程。疑似未在甲烷、一氧化碳传感器所在地进行标校。</t>
  </si>
  <si>
    <t>超限未报警</t>
  </si>
  <si>
    <t>测点实时数据超过了系统中定义的测点报警上限，但系统中未显示报警信息，疑似人为修改传感器正常报警值。</t>
  </si>
  <si>
    <t>超限未断电</t>
  </si>
  <si>
    <t>对于超限时间持续超过1分钟且监测值最大值&gt;=1.5%的瓦斯超限报警，所关联断电器未执行断电或馈电器未显示“无电”状态。疑似人为取消断电闭锁设置。</t>
  </si>
  <si>
    <t>位置逻辑异常</t>
  </si>
  <si>
    <t>针对同一采煤工作面的T0、T1、T2三个位置甲烷传感器曲线或者掘进工作面的T1、T2两个位置甲烷传感器曲线，存在前后相邻时刻数值变化趋势不一致或者几条曲线在相同时刻变化趋势接近完全一致。疑似甲烷传感器未按照要求吊挂或者人为干扰传感器监测数据。</t>
  </si>
  <si>
    <t>超24小时未消警</t>
  </si>
  <si>
    <t>报警24小时后，仍未填报报警原因或填报模糊的</t>
  </si>
  <si>
    <t>风筒与风机开停不匹配</t>
  </si>
  <si>
    <t>发生风机停风报警，局扇停止后，风筒仍然有风</t>
  </si>
  <si>
    <t>传感器类型错误</t>
  </si>
  <si>
    <t>传感器类型编码与测点位置描述类型不匹配</t>
  </si>
  <si>
    <t>瓦斯异常中断</t>
  </si>
  <si>
    <t>瓦斯传感器实时数据中断期间发生超限报警，或实时数据中断前接近超限</t>
  </si>
  <si>
    <t>人员定位数据高风险</t>
  </si>
  <si>
    <t>疑似捎卡</t>
  </si>
  <si>
    <t>领导轨迹地点序列和员工完全一致，且出入井时间相差5秒以内。</t>
  </si>
  <si>
    <t>单次出井人数异常</t>
  </si>
  <si>
    <t>同一时刻超过56人出井</t>
  </si>
  <si>
    <t>井下人员异常变化</t>
  </si>
  <si>
    <t>井下人数突然减少，且之前日期不存在类似突变</t>
  </si>
  <si>
    <t>领导交班异常</t>
  </si>
  <si>
    <t>正常工作时段无领导超30分钟</t>
  </si>
  <si>
    <t>人员未出井</t>
  </si>
  <si>
    <t>井下工作人员前3周每天都正常出入井，最近1周没有下井，且之前出井时间为空的人员。</t>
  </si>
  <si>
    <t>基础数据分析</t>
  </si>
  <si>
    <t>五职矿长多矿任职</t>
  </si>
  <si>
    <t>同一身份证号人员，疑似在多个煤矿担任矿长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</si>
</sst>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宋体"/>
      <charset val="134"/>
      <scheme val="minor"/>
    </font>
    <font>
      <sz val="10"/>
      <color theme="1"/>
      <name val="宋体"/>
      <charset val="134"/>
      <scheme val="minor"/>
    </font>
    <font>
      <sz val="10"/>
      <color rgb="FFFF0000"/>
      <name val="宋体"/>
      <charset val="134"/>
      <scheme val="minor"/>
    </font>
    <font>
      <b/>
      <sz val="10"/>
      <color theme="0"/>
      <name val="宋体"/>
      <charset val="134"/>
      <scheme val="minor"/>
    </font>
    <font>
      <sz val="10"/>
      <color rgb="FFFF0000"/>
      <name val="宋体"/>
      <charset val="134"/>
    </font>
    <font>
      <sz val="10"/>
      <color theme="1"/>
      <name val="宋体"/>
      <charset val="134"/>
    </font>
    <font>
      <sz val="10"/>
      <name val="宋体"/>
      <charset val="134"/>
    </font>
    <font>
      <b/>
      <sz val="18"/>
      <color rgb="FF333333"/>
      <name val="宋体"/>
      <charset val="134"/>
      <scheme val="minor"/>
    </font>
    <font>
      <sz val="10"/>
      <color rgb="FF000000"/>
      <name val="宋体"/>
      <charset val="134"/>
      <scheme val="minor"/>
    </font>
    <font>
      <sz val="10"/>
      <name val="宋体"/>
      <charset val="134"/>
      <scheme val="minor"/>
    </font>
    <font>
      <sz val="12"/>
      <color theme="1"/>
      <name val="宋体"/>
      <charset val="134"/>
      <scheme val="minor"/>
    </font>
    <font>
      <sz val="11"/>
      <name val="Carlito"/>
      <family val="1"/>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00389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0" fillId="0" borderId="0">
      <alignment vertical="center"/>
    </xf>
    <xf numFmtId="0" fontId="11" fillId="0" borderId="0"/>
  </cellStyleXfs>
  <cellXfs count="24">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vertical="center" wrapText="1"/>
    </xf>
    <xf numFmtId="0" fontId="1" fillId="2" borderId="0" xfId="0" applyFont="1" applyFill="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3" fillId="3" borderId="1" xfId="1"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0" xfId="0" applyFont="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2" fillId="2" borderId="0" xfId="0" applyFont="1" applyFill="1" applyAlignment="1">
      <alignment horizontal="left"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1" fillId="2" borderId="0" xfId="0" applyFont="1" applyFill="1" applyAlignment="1">
      <alignment horizontal="left" vertical="center" wrapText="1"/>
    </xf>
    <xf numFmtId="0" fontId="8" fillId="0" borderId="0" xfId="0" applyFont="1" applyAlignment="1">
      <alignment vertical="center" wrapText="1"/>
    </xf>
    <xf numFmtId="0" fontId="1" fillId="0" borderId="1" xfId="0" applyFont="1" applyBorder="1" applyAlignment="1">
      <alignment horizontal="center" vertical="center" wrapText="1"/>
    </xf>
    <xf numFmtId="0" fontId="9" fillId="0" borderId="1" xfId="1" applyFont="1" applyBorder="1" applyAlignment="1">
      <alignment horizontal="center" vertical="center" wrapText="1"/>
    </xf>
    <xf numFmtId="0" fontId="9" fillId="0" borderId="1" xfId="0" applyFont="1" applyBorder="1" applyAlignment="1">
      <alignment horizontal="center" vertical="center" wrapText="1"/>
    </xf>
    <xf numFmtId="0" fontId="7" fillId="0" borderId="0" xfId="0" applyFont="1" applyAlignment="1">
      <alignment horizontal="center" vertical="center" wrapText="1"/>
    </xf>
  </cellXfs>
  <cellStyles count="3">
    <cellStyle name="Normal" xfId="2" xr:uid="{00000000-0005-0000-0000-000032000000}"/>
    <cellStyle name="常规" xfId="0" builtinId="0"/>
    <cellStyle name="常规 2" xfId="1" xr:uid="{00000000-0005-0000-0000-000031000000}"/>
  </cellStyles>
  <dxfs count="18">
    <dxf>
      <numFmt numFmtId="0" formatCode="Genera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表1_45" displayName="表1_45" ref="A2:G51" totalsRowShown="0">
  <autoFilter ref="A2:G51" xr:uid="{00000000-0009-0000-0100-000004000000}"/>
  <sortState xmlns:xlrd2="http://schemas.microsoft.com/office/spreadsheetml/2017/richdata2" ref="A2:G51">
    <sortCondition ref="B2:B51"/>
  </sortState>
  <tableColumns count="7">
    <tableColumn id="1" xr3:uid="{00000000-0010-0000-0000-000001000000}" name="序号">
      <calculatedColumnFormula>ROW()-2</calculatedColumnFormula>
    </tableColumn>
    <tableColumn id="2" xr3:uid="{00000000-0010-0000-0000-000002000000}" name="大类"/>
    <tableColumn id="4" xr3:uid="{00000000-0010-0000-0000-000004000000}" name="算法名称"/>
    <tableColumn id="5" xr3:uid="{00000000-0010-0000-0000-000005000000}" name="算法描述"/>
    <tableColumn id="6" xr3:uid="{00000000-0010-0000-0000-000006000000}" name="单位"/>
    <tableColumn id="7" xr3:uid="{00000000-0010-0000-0000-000007000000}" name="数量"/>
    <tableColumn id="8" xr3:uid="{00000000-0010-0000-0000-000008000000}" name="备注"/>
  </tableColumns>
  <tableStyleInfo name="TableStylePreset3_Accen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1_3" displayName="表1_3" ref="A1:G19" totalsRowShown="0">
  <autoFilter ref="A1:G19" xr:uid="{00000000-0009-0000-0100-000002000000}"/>
  <tableColumns count="7">
    <tableColumn id="1" xr3:uid="{00000000-0010-0000-0100-000001000000}" name="序号" dataDxfId="0">
      <calculatedColumnFormula>ROW()-1</calculatedColumnFormula>
    </tableColumn>
    <tableColumn id="4" xr3:uid="{00000000-0010-0000-0100-000004000000}" name="分类"/>
    <tableColumn id="5" xr3:uid="{00000000-0010-0000-0100-000005000000}" name="算法名称"/>
    <tableColumn id="6" xr3:uid="{00000000-0010-0000-0100-000006000000}" name="算法描述"/>
    <tableColumn id="7" xr3:uid="{00000000-0010-0000-0100-000007000000}" name="单位"/>
    <tableColumn id="8" xr3:uid="{00000000-0010-0000-0100-000008000000}" name="数量"/>
    <tableColumn id="9" xr3:uid="{00000000-0010-0000-0100-000009000000}" name="备注"/>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zoomScale="85" zoomScaleNormal="85" workbookViewId="0">
      <selection activeCell="B54" sqref="B54"/>
    </sheetView>
  </sheetViews>
  <sheetFormatPr defaultColWidth="9" defaultRowHeight="23.1" customHeight="1"/>
  <cols>
    <col min="1" max="1" width="5.625" style="4" customWidth="1"/>
    <col min="2" max="2" width="18.5" style="4" customWidth="1"/>
    <col min="3" max="3" width="21.5" style="4" customWidth="1"/>
    <col min="4" max="4" width="91" style="4" customWidth="1"/>
    <col min="5" max="5" width="15.875" style="5" customWidth="1"/>
    <col min="6" max="7" width="8.5" style="4" customWidth="1"/>
    <col min="8" max="8" width="16.75" style="4" customWidth="1"/>
    <col min="9" max="9" width="9" style="4"/>
    <col min="10" max="10" width="17.75" style="4" customWidth="1"/>
    <col min="11" max="16384" width="9" style="4"/>
  </cols>
  <sheetData>
    <row r="1" spans="1:17" ht="23.1" customHeight="1">
      <c r="A1" s="23" t="s">
        <v>0</v>
      </c>
      <c r="B1" s="23"/>
      <c r="C1" s="23"/>
      <c r="D1" s="23"/>
      <c r="E1" s="23"/>
      <c r="F1" s="23"/>
      <c r="G1" s="23"/>
      <c r="H1" s="23"/>
      <c r="I1" s="19"/>
      <c r="J1" s="19"/>
      <c r="K1" s="19"/>
      <c r="L1" s="19"/>
      <c r="M1" s="19"/>
      <c r="N1" s="19"/>
      <c r="O1" s="19"/>
      <c r="P1" s="19"/>
      <c r="Q1" s="19"/>
    </row>
    <row r="2" spans="1:17" s="1" customFormat="1" ht="23.1" customHeight="1">
      <c r="A2" s="6" t="s">
        <v>1</v>
      </c>
      <c r="B2" s="6" t="s">
        <v>2</v>
      </c>
      <c r="C2" s="6" t="s">
        <v>3</v>
      </c>
      <c r="D2" s="6" t="s">
        <v>4</v>
      </c>
      <c r="E2" s="6" t="s">
        <v>5</v>
      </c>
      <c r="F2" s="6" t="s">
        <v>6</v>
      </c>
      <c r="G2" s="6" t="s">
        <v>7</v>
      </c>
    </row>
    <row r="3" spans="1:17" ht="23.1" customHeight="1">
      <c r="A3" s="20">
        <f t="shared" ref="A3:A51" si="0">ROW()-2</f>
        <v>1</v>
      </c>
      <c r="B3" s="20" t="s">
        <v>8</v>
      </c>
      <c r="C3" s="20" t="s">
        <v>9</v>
      </c>
      <c r="D3" s="20" t="s">
        <v>10</v>
      </c>
      <c r="E3" s="21" t="s">
        <v>11</v>
      </c>
      <c r="F3" s="22">
        <v>1</v>
      </c>
      <c r="G3" s="20" t="s">
        <v>12</v>
      </c>
    </row>
    <row r="4" spans="1:17" ht="23.1" customHeight="1">
      <c r="A4" s="20">
        <f t="shared" si="0"/>
        <v>2</v>
      </c>
      <c r="B4" s="20" t="s">
        <v>8</v>
      </c>
      <c r="C4" s="20" t="s">
        <v>13</v>
      </c>
      <c r="D4" s="20" t="s">
        <v>14</v>
      </c>
      <c r="E4" s="21" t="s">
        <v>11</v>
      </c>
      <c r="F4" s="22">
        <v>1</v>
      </c>
      <c r="G4" s="20" t="s">
        <v>12</v>
      </c>
    </row>
    <row r="5" spans="1:17" ht="23.1" customHeight="1">
      <c r="A5" s="20">
        <f t="shared" si="0"/>
        <v>3</v>
      </c>
      <c r="B5" s="20" t="s">
        <v>8</v>
      </c>
      <c r="C5" s="20" t="s">
        <v>15</v>
      </c>
      <c r="D5" s="20" t="s">
        <v>16</v>
      </c>
      <c r="E5" s="21" t="s">
        <v>11</v>
      </c>
      <c r="F5" s="22">
        <v>1</v>
      </c>
      <c r="G5" s="20" t="s">
        <v>12</v>
      </c>
    </row>
    <row r="6" spans="1:17" ht="23.1" customHeight="1">
      <c r="A6" s="20">
        <f t="shared" si="0"/>
        <v>4</v>
      </c>
      <c r="B6" s="20" t="s">
        <v>17</v>
      </c>
      <c r="C6" s="22" t="s">
        <v>18</v>
      </c>
      <c r="D6" s="22" t="s">
        <v>19</v>
      </c>
      <c r="E6" s="21" t="s">
        <v>11</v>
      </c>
      <c r="F6" s="22">
        <v>1</v>
      </c>
      <c r="G6" s="20" t="s">
        <v>12</v>
      </c>
    </row>
    <row r="7" spans="1:17" ht="23.1" customHeight="1">
      <c r="A7" s="20">
        <f t="shared" si="0"/>
        <v>5</v>
      </c>
      <c r="B7" s="20" t="s">
        <v>17</v>
      </c>
      <c r="C7" s="22" t="s">
        <v>20</v>
      </c>
      <c r="D7" s="22" t="s">
        <v>21</v>
      </c>
      <c r="E7" s="21" t="s">
        <v>11</v>
      </c>
      <c r="F7" s="22">
        <v>1</v>
      </c>
      <c r="G7" s="20" t="s">
        <v>12</v>
      </c>
    </row>
    <row r="8" spans="1:17" ht="23.1" customHeight="1">
      <c r="A8" s="20">
        <f t="shared" si="0"/>
        <v>6</v>
      </c>
      <c r="B8" s="20" t="s">
        <v>17</v>
      </c>
      <c r="C8" s="22" t="s">
        <v>22</v>
      </c>
      <c r="D8" s="22" t="s">
        <v>23</v>
      </c>
      <c r="E8" s="21" t="s">
        <v>11</v>
      </c>
      <c r="F8" s="22">
        <v>1</v>
      </c>
      <c r="G8" s="20" t="s">
        <v>12</v>
      </c>
    </row>
    <row r="9" spans="1:17" ht="23.1" customHeight="1">
      <c r="A9" s="20">
        <f t="shared" si="0"/>
        <v>7</v>
      </c>
      <c r="B9" s="20" t="s">
        <v>17</v>
      </c>
      <c r="C9" s="22" t="s">
        <v>24</v>
      </c>
      <c r="D9" s="22" t="s">
        <v>25</v>
      </c>
      <c r="E9" s="21" t="s">
        <v>11</v>
      </c>
      <c r="F9" s="22">
        <v>1</v>
      </c>
      <c r="G9" s="20"/>
    </row>
    <row r="10" spans="1:17" ht="23.1" customHeight="1">
      <c r="A10" s="20">
        <f t="shared" si="0"/>
        <v>8</v>
      </c>
      <c r="B10" s="20" t="s">
        <v>17</v>
      </c>
      <c r="C10" s="22" t="s">
        <v>26</v>
      </c>
      <c r="D10" s="22" t="s">
        <v>27</v>
      </c>
      <c r="E10" s="21" t="s">
        <v>11</v>
      </c>
      <c r="F10" s="22">
        <v>1</v>
      </c>
      <c r="G10" s="20"/>
    </row>
    <row r="11" spans="1:17" ht="23.1" customHeight="1">
      <c r="A11" s="20">
        <f t="shared" si="0"/>
        <v>9</v>
      </c>
      <c r="B11" s="20" t="s">
        <v>17</v>
      </c>
      <c r="C11" s="22" t="s">
        <v>28</v>
      </c>
      <c r="D11" s="22" t="s">
        <v>29</v>
      </c>
      <c r="E11" s="21" t="s">
        <v>11</v>
      </c>
      <c r="F11" s="22">
        <v>1</v>
      </c>
      <c r="G11" s="20"/>
    </row>
    <row r="12" spans="1:17" ht="23.1" customHeight="1">
      <c r="A12" s="20">
        <f t="shared" si="0"/>
        <v>10</v>
      </c>
      <c r="B12" s="20" t="s">
        <v>17</v>
      </c>
      <c r="C12" s="22" t="s">
        <v>30</v>
      </c>
      <c r="D12" s="22" t="s">
        <v>31</v>
      </c>
      <c r="E12" s="21" t="s">
        <v>11</v>
      </c>
      <c r="F12" s="22">
        <v>1</v>
      </c>
      <c r="G12" s="20" t="s">
        <v>12</v>
      </c>
    </row>
    <row r="13" spans="1:17" ht="23.1" customHeight="1">
      <c r="A13" s="20">
        <f t="shared" si="0"/>
        <v>11</v>
      </c>
      <c r="B13" s="20" t="s">
        <v>32</v>
      </c>
      <c r="C13" s="22" t="s">
        <v>33</v>
      </c>
      <c r="D13" s="22" t="s">
        <v>34</v>
      </c>
      <c r="E13" s="21" t="s">
        <v>11</v>
      </c>
      <c r="F13" s="22">
        <v>1</v>
      </c>
      <c r="G13" s="20" t="s">
        <v>12</v>
      </c>
    </row>
    <row r="14" spans="1:17" ht="23.1" customHeight="1">
      <c r="A14" s="20">
        <f t="shared" si="0"/>
        <v>12</v>
      </c>
      <c r="B14" s="20" t="s">
        <v>32</v>
      </c>
      <c r="C14" s="20" t="s">
        <v>35</v>
      </c>
      <c r="D14" s="20" t="s">
        <v>36</v>
      </c>
      <c r="E14" s="21" t="s">
        <v>11</v>
      </c>
      <c r="F14" s="22">
        <v>1</v>
      </c>
      <c r="G14" s="20" t="s">
        <v>12</v>
      </c>
    </row>
    <row r="15" spans="1:17" ht="23.1" customHeight="1">
      <c r="A15" s="20">
        <f t="shared" si="0"/>
        <v>13</v>
      </c>
      <c r="B15" s="20" t="s">
        <v>32</v>
      </c>
      <c r="C15" s="20" t="s">
        <v>37</v>
      </c>
      <c r="D15" s="20" t="s">
        <v>38</v>
      </c>
      <c r="E15" s="21" t="s">
        <v>11</v>
      </c>
      <c r="F15" s="22">
        <v>1</v>
      </c>
      <c r="G15" s="20" t="s">
        <v>12</v>
      </c>
    </row>
    <row r="16" spans="1:17" ht="23.1" customHeight="1">
      <c r="A16" s="20">
        <f t="shared" si="0"/>
        <v>14</v>
      </c>
      <c r="B16" s="20" t="s">
        <v>39</v>
      </c>
      <c r="C16" s="22" t="s">
        <v>40</v>
      </c>
      <c r="D16" s="22" t="s">
        <v>41</v>
      </c>
      <c r="E16" s="21" t="s">
        <v>11</v>
      </c>
      <c r="F16" s="22">
        <v>1</v>
      </c>
      <c r="G16" s="20" t="s">
        <v>12</v>
      </c>
    </row>
    <row r="17" spans="1:7" ht="23.1" customHeight="1">
      <c r="A17" s="20">
        <f t="shared" si="0"/>
        <v>15</v>
      </c>
      <c r="B17" s="20" t="s">
        <v>39</v>
      </c>
      <c r="C17" s="22" t="s">
        <v>42</v>
      </c>
      <c r="D17" s="22" t="s">
        <v>43</v>
      </c>
      <c r="E17" s="21" t="s">
        <v>11</v>
      </c>
      <c r="F17" s="22">
        <v>1</v>
      </c>
      <c r="G17" s="20" t="s">
        <v>12</v>
      </c>
    </row>
    <row r="18" spans="1:7" ht="23.1" customHeight="1">
      <c r="A18" s="20">
        <f t="shared" si="0"/>
        <v>16</v>
      </c>
      <c r="B18" s="20" t="s">
        <v>39</v>
      </c>
      <c r="C18" s="22" t="s">
        <v>44</v>
      </c>
      <c r="D18" s="22" t="s">
        <v>45</v>
      </c>
      <c r="E18" s="21" t="s">
        <v>11</v>
      </c>
      <c r="F18" s="22">
        <v>1</v>
      </c>
      <c r="G18" s="20" t="s">
        <v>12</v>
      </c>
    </row>
    <row r="19" spans="1:7" ht="23.1" customHeight="1">
      <c r="A19" s="20">
        <f t="shared" si="0"/>
        <v>17</v>
      </c>
      <c r="B19" s="20" t="s">
        <v>39</v>
      </c>
      <c r="C19" s="22" t="s">
        <v>46</v>
      </c>
      <c r="D19" s="22" t="s">
        <v>47</v>
      </c>
      <c r="E19" s="21" t="s">
        <v>11</v>
      </c>
      <c r="F19" s="22">
        <v>1</v>
      </c>
      <c r="G19" s="20" t="s">
        <v>12</v>
      </c>
    </row>
    <row r="20" spans="1:7" ht="23.1" customHeight="1">
      <c r="A20" s="20">
        <f t="shared" si="0"/>
        <v>18</v>
      </c>
      <c r="B20" s="20" t="s">
        <v>39</v>
      </c>
      <c r="C20" s="22" t="s">
        <v>48</v>
      </c>
      <c r="D20" s="22" t="s">
        <v>49</v>
      </c>
      <c r="E20" s="21" t="s">
        <v>11</v>
      </c>
      <c r="F20" s="22">
        <v>1</v>
      </c>
      <c r="G20" s="20" t="s">
        <v>12</v>
      </c>
    </row>
    <row r="21" spans="1:7" ht="23.1" customHeight="1">
      <c r="A21" s="20">
        <f t="shared" si="0"/>
        <v>19</v>
      </c>
      <c r="B21" s="20" t="s">
        <v>39</v>
      </c>
      <c r="C21" s="22" t="s">
        <v>50</v>
      </c>
      <c r="D21" s="22" t="s">
        <v>51</v>
      </c>
      <c r="E21" s="21" t="s">
        <v>11</v>
      </c>
      <c r="F21" s="22">
        <v>1</v>
      </c>
      <c r="G21" s="20"/>
    </row>
    <row r="22" spans="1:7" ht="23.1" customHeight="1">
      <c r="A22" s="20">
        <f t="shared" si="0"/>
        <v>20</v>
      </c>
      <c r="B22" s="20" t="s">
        <v>39</v>
      </c>
      <c r="C22" s="22" t="s">
        <v>52</v>
      </c>
      <c r="D22" s="22" t="s">
        <v>53</v>
      </c>
      <c r="E22" s="21" t="s">
        <v>11</v>
      </c>
      <c r="F22" s="22">
        <v>1</v>
      </c>
      <c r="G22" s="20"/>
    </row>
    <row r="23" spans="1:7" ht="23.1" customHeight="1">
      <c r="A23" s="20">
        <f t="shared" si="0"/>
        <v>21</v>
      </c>
      <c r="B23" s="20" t="s">
        <v>39</v>
      </c>
      <c r="C23" s="22" t="s">
        <v>54</v>
      </c>
      <c r="D23" s="22" t="s">
        <v>55</v>
      </c>
      <c r="E23" s="21" t="s">
        <v>11</v>
      </c>
      <c r="F23" s="22">
        <v>1</v>
      </c>
      <c r="G23" s="20"/>
    </row>
    <row r="24" spans="1:7" ht="23.1" customHeight="1">
      <c r="A24" s="20">
        <f t="shared" si="0"/>
        <v>22</v>
      </c>
      <c r="B24" s="20" t="s">
        <v>56</v>
      </c>
      <c r="C24" s="22" t="s">
        <v>57</v>
      </c>
      <c r="D24" s="22" t="s">
        <v>58</v>
      </c>
      <c r="E24" s="21" t="s">
        <v>11</v>
      </c>
      <c r="F24" s="22">
        <v>1</v>
      </c>
      <c r="G24" s="20" t="s">
        <v>12</v>
      </c>
    </row>
    <row r="25" spans="1:7" ht="23.1" customHeight="1">
      <c r="A25" s="20">
        <f t="shared" si="0"/>
        <v>23</v>
      </c>
      <c r="B25" s="20" t="s">
        <v>56</v>
      </c>
      <c r="C25" s="22" t="s">
        <v>59</v>
      </c>
      <c r="D25" s="22" t="s">
        <v>60</v>
      </c>
      <c r="E25" s="21" t="s">
        <v>11</v>
      </c>
      <c r="F25" s="22">
        <v>1</v>
      </c>
      <c r="G25" s="20" t="s">
        <v>12</v>
      </c>
    </row>
    <row r="26" spans="1:7" ht="23.1" customHeight="1">
      <c r="A26" s="20">
        <f t="shared" si="0"/>
        <v>24</v>
      </c>
      <c r="B26" s="20" t="s">
        <v>56</v>
      </c>
      <c r="C26" s="22" t="s">
        <v>61</v>
      </c>
      <c r="D26" s="22" t="s">
        <v>62</v>
      </c>
      <c r="E26" s="21" t="s">
        <v>11</v>
      </c>
      <c r="F26" s="22">
        <v>1</v>
      </c>
      <c r="G26" s="20" t="s">
        <v>12</v>
      </c>
    </row>
    <row r="27" spans="1:7" ht="23.1" customHeight="1">
      <c r="A27" s="20">
        <f t="shared" si="0"/>
        <v>25</v>
      </c>
      <c r="B27" s="20" t="s">
        <v>56</v>
      </c>
      <c r="C27" s="22" t="s">
        <v>63</v>
      </c>
      <c r="D27" s="22" t="s">
        <v>62</v>
      </c>
      <c r="E27" s="21" t="s">
        <v>11</v>
      </c>
      <c r="F27" s="22">
        <v>1</v>
      </c>
      <c r="G27" s="20" t="s">
        <v>12</v>
      </c>
    </row>
    <row r="28" spans="1:7" ht="23.1" customHeight="1">
      <c r="A28" s="20">
        <f t="shared" si="0"/>
        <v>26</v>
      </c>
      <c r="B28" s="20" t="s">
        <v>56</v>
      </c>
      <c r="C28" s="22" t="s">
        <v>64</v>
      </c>
      <c r="D28" s="22" t="s">
        <v>65</v>
      </c>
      <c r="E28" s="21" t="s">
        <v>11</v>
      </c>
      <c r="F28" s="22">
        <v>1</v>
      </c>
      <c r="G28" s="20" t="s">
        <v>12</v>
      </c>
    </row>
    <row r="29" spans="1:7" ht="23.1" customHeight="1">
      <c r="A29" s="20">
        <f t="shared" si="0"/>
        <v>27</v>
      </c>
      <c r="B29" s="20" t="s">
        <v>56</v>
      </c>
      <c r="C29" s="22" t="s">
        <v>66</v>
      </c>
      <c r="D29" s="22" t="s">
        <v>67</v>
      </c>
      <c r="E29" s="21" t="s">
        <v>11</v>
      </c>
      <c r="F29" s="22">
        <v>1</v>
      </c>
      <c r="G29" s="20" t="s">
        <v>12</v>
      </c>
    </row>
    <row r="30" spans="1:7" ht="23.1" customHeight="1">
      <c r="A30" s="20">
        <f t="shared" si="0"/>
        <v>28</v>
      </c>
      <c r="B30" s="20" t="s">
        <v>56</v>
      </c>
      <c r="C30" s="20" t="s">
        <v>68</v>
      </c>
      <c r="D30" s="20" t="s">
        <v>69</v>
      </c>
      <c r="E30" s="20" t="s">
        <v>11</v>
      </c>
      <c r="F30" s="20">
        <v>1</v>
      </c>
      <c r="G30" s="20" t="s">
        <v>70</v>
      </c>
    </row>
    <row r="31" spans="1:7" ht="23.1" customHeight="1">
      <c r="A31" s="20">
        <f t="shared" si="0"/>
        <v>29</v>
      </c>
      <c r="B31" s="20" t="s">
        <v>56</v>
      </c>
      <c r="C31" s="22" t="s">
        <v>71</v>
      </c>
      <c r="D31" s="22" t="s">
        <v>72</v>
      </c>
      <c r="E31" s="21" t="s">
        <v>11</v>
      </c>
      <c r="F31" s="22">
        <v>1</v>
      </c>
      <c r="G31" s="20" t="s">
        <v>12</v>
      </c>
    </row>
    <row r="32" spans="1:7" ht="23.1" customHeight="1">
      <c r="A32" s="20">
        <f t="shared" si="0"/>
        <v>30</v>
      </c>
      <c r="B32" s="20" t="s">
        <v>56</v>
      </c>
      <c r="C32" s="22" t="s">
        <v>73</v>
      </c>
      <c r="D32" s="22" t="s">
        <v>74</v>
      </c>
      <c r="E32" s="21" t="s">
        <v>11</v>
      </c>
      <c r="F32" s="22">
        <v>1</v>
      </c>
      <c r="G32" s="20" t="s">
        <v>12</v>
      </c>
    </row>
    <row r="33" spans="1:7" ht="23.1" customHeight="1">
      <c r="A33" s="20">
        <f t="shared" si="0"/>
        <v>31</v>
      </c>
      <c r="B33" s="20" t="s">
        <v>56</v>
      </c>
      <c r="C33" s="22" t="s">
        <v>75</v>
      </c>
      <c r="D33" s="22" t="s">
        <v>76</v>
      </c>
      <c r="E33" s="21" t="s">
        <v>11</v>
      </c>
      <c r="F33" s="22">
        <v>1</v>
      </c>
      <c r="G33" s="20" t="s">
        <v>12</v>
      </c>
    </row>
    <row r="34" spans="1:7" ht="23.1" customHeight="1">
      <c r="A34" s="20">
        <f t="shared" si="0"/>
        <v>32</v>
      </c>
      <c r="B34" s="20" t="s">
        <v>56</v>
      </c>
      <c r="C34" s="22" t="s">
        <v>77</v>
      </c>
      <c r="D34" s="22" t="s">
        <v>78</v>
      </c>
      <c r="E34" s="21" t="s">
        <v>11</v>
      </c>
      <c r="F34" s="22">
        <v>1</v>
      </c>
      <c r="G34" s="20" t="s">
        <v>12</v>
      </c>
    </row>
    <row r="35" spans="1:7" ht="23.1" customHeight="1">
      <c r="A35" s="20">
        <f t="shared" si="0"/>
        <v>33</v>
      </c>
      <c r="B35" s="20" t="s">
        <v>56</v>
      </c>
      <c r="C35" s="22" t="s">
        <v>79</v>
      </c>
      <c r="D35" s="22" t="s">
        <v>80</v>
      </c>
      <c r="E35" s="21" t="s">
        <v>11</v>
      </c>
      <c r="F35" s="22">
        <v>1</v>
      </c>
      <c r="G35" s="20" t="s">
        <v>12</v>
      </c>
    </row>
    <row r="36" spans="1:7" ht="23.1" customHeight="1">
      <c r="A36" s="20">
        <f t="shared" si="0"/>
        <v>34</v>
      </c>
      <c r="B36" s="20" t="s">
        <v>56</v>
      </c>
      <c r="C36" s="22" t="s">
        <v>81</v>
      </c>
      <c r="D36" s="22" t="s">
        <v>82</v>
      </c>
      <c r="E36" s="21" t="s">
        <v>11</v>
      </c>
      <c r="F36" s="22">
        <v>1</v>
      </c>
      <c r="G36" s="20" t="s">
        <v>12</v>
      </c>
    </row>
    <row r="37" spans="1:7" ht="23.1" customHeight="1">
      <c r="A37" s="20">
        <f t="shared" si="0"/>
        <v>35</v>
      </c>
      <c r="B37" s="20" t="s">
        <v>56</v>
      </c>
      <c r="C37" s="22" t="s">
        <v>83</v>
      </c>
      <c r="D37" s="22" t="s">
        <v>84</v>
      </c>
      <c r="E37" s="21" t="s">
        <v>11</v>
      </c>
      <c r="F37" s="22">
        <v>1</v>
      </c>
      <c r="G37" s="20" t="s">
        <v>12</v>
      </c>
    </row>
    <row r="38" spans="1:7" ht="12">
      <c r="A38" s="20">
        <f t="shared" si="0"/>
        <v>36</v>
      </c>
      <c r="B38" s="20" t="s">
        <v>56</v>
      </c>
      <c r="C38" s="22" t="s">
        <v>85</v>
      </c>
      <c r="D38" s="22" t="s">
        <v>86</v>
      </c>
      <c r="E38" s="21" t="s">
        <v>11</v>
      </c>
      <c r="F38" s="22">
        <v>1</v>
      </c>
      <c r="G38" s="20" t="s">
        <v>12</v>
      </c>
    </row>
    <row r="39" spans="1:7" ht="23.1" customHeight="1">
      <c r="A39" s="20">
        <f t="shared" si="0"/>
        <v>37</v>
      </c>
      <c r="B39" s="20" t="s">
        <v>56</v>
      </c>
      <c r="C39" s="20" t="s">
        <v>87</v>
      </c>
      <c r="D39" s="20" t="s">
        <v>88</v>
      </c>
      <c r="E39" s="21" t="s">
        <v>11</v>
      </c>
      <c r="F39" s="22">
        <v>1</v>
      </c>
      <c r="G39" s="20" t="s">
        <v>70</v>
      </c>
    </row>
    <row r="40" spans="1:7" ht="23.1" customHeight="1">
      <c r="A40" s="20">
        <f t="shared" si="0"/>
        <v>38</v>
      </c>
      <c r="B40" s="20" t="s">
        <v>56</v>
      </c>
      <c r="C40" s="20" t="s">
        <v>89</v>
      </c>
      <c r="D40" s="20" t="s">
        <v>90</v>
      </c>
      <c r="E40" s="20" t="s">
        <v>11</v>
      </c>
      <c r="F40" s="20">
        <v>1</v>
      </c>
      <c r="G40" s="20" t="s">
        <v>70</v>
      </c>
    </row>
    <row r="41" spans="1:7" ht="23.1" customHeight="1">
      <c r="A41" s="20">
        <f t="shared" si="0"/>
        <v>39</v>
      </c>
      <c r="B41" s="20" t="s">
        <v>91</v>
      </c>
      <c r="C41" s="20" t="s">
        <v>92</v>
      </c>
      <c r="D41" s="20" t="s">
        <v>93</v>
      </c>
      <c r="E41" s="20" t="s">
        <v>11</v>
      </c>
      <c r="F41" s="20">
        <v>1</v>
      </c>
      <c r="G41" s="20" t="s">
        <v>70</v>
      </c>
    </row>
    <row r="42" spans="1:7" ht="23.1" customHeight="1">
      <c r="A42" s="20">
        <f t="shared" si="0"/>
        <v>40</v>
      </c>
      <c r="B42" s="20" t="s">
        <v>91</v>
      </c>
      <c r="C42" s="20" t="s">
        <v>94</v>
      </c>
      <c r="D42" s="20" t="s">
        <v>95</v>
      </c>
      <c r="E42" s="21" t="s">
        <v>11</v>
      </c>
      <c r="F42" s="22">
        <v>1</v>
      </c>
      <c r="G42" s="20" t="s">
        <v>70</v>
      </c>
    </row>
    <row r="43" spans="1:7" ht="23.1" customHeight="1">
      <c r="A43" s="20">
        <f t="shared" si="0"/>
        <v>41</v>
      </c>
      <c r="B43" s="20" t="s">
        <v>91</v>
      </c>
      <c r="C43" s="20" t="s">
        <v>96</v>
      </c>
      <c r="D43" s="20" t="s">
        <v>97</v>
      </c>
      <c r="E43" s="20" t="s">
        <v>11</v>
      </c>
      <c r="F43" s="20">
        <v>1</v>
      </c>
      <c r="G43" s="20" t="s">
        <v>70</v>
      </c>
    </row>
    <row r="44" spans="1:7" ht="23.1" customHeight="1">
      <c r="A44" s="20">
        <f t="shared" si="0"/>
        <v>42</v>
      </c>
      <c r="B44" s="20" t="s">
        <v>91</v>
      </c>
      <c r="C44" s="20" t="s">
        <v>98</v>
      </c>
      <c r="D44" s="20" t="s">
        <v>99</v>
      </c>
      <c r="E44" s="21" t="s">
        <v>11</v>
      </c>
      <c r="F44" s="22">
        <v>1</v>
      </c>
      <c r="G44" s="20" t="s">
        <v>70</v>
      </c>
    </row>
    <row r="45" spans="1:7" ht="23.1" customHeight="1">
      <c r="A45" s="20">
        <f t="shared" si="0"/>
        <v>43</v>
      </c>
      <c r="B45" s="10" t="s">
        <v>100</v>
      </c>
      <c r="C45" s="10" t="s">
        <v>101</v>
      </c>
      <c r="D45" s="10" t="s">
        <v>102</v>
      </c>
      <c r="E45" s="10" t="s">
        <v>11</v>
      </c>
      <c r="F45" s="10">
        <v>1</v>
      </c>
      <c r="G45" s="10" t="s">
        <v>70</v>
      </c>
    </row>
    <row r="46" spans="1:7" ht="23.1" customHeight="1">
      <c r="A46" s="20">
        <f t="shared" si="0"/>
        <v>44</v>
      </c>
      <c r="B46" s="10" t="s">
        <v>100</v>
      </c>
      <c r="C46" s="10" t="s">
        <v>103</v>
      </c>
      <c r="D46" s="10" t="s">
        <v>104</v>
      </c>
      <c r="E46" s="10" t="s">
        <v>11</v>
      </c>
      <c r="F46" s="10">
        <v>1</v>
      </c>
      <c r="G46" s="10" t="s">
        <v>70</v>
      </c>
    </row>
    <row r="47" spans="1:7" ht="23.1" customHeight="1">
      <c r="A47" s="20">
        <f t="shared" si="0"/>
        <v>45</v>
      </c>
      <c r="B47" s="10" t="s">
        <v>100</v>
      </c>
      <c r="C47" s="10" t="s">
        <v>105</v>
      </c>
      <c r="D47" s="10" t="s">
        <v>106</v>
      </c>
      <c r="E47" s="10" t="s">
        <v>11</v>
      </c>
      <c r="F47" s="10">
        <v>1</v>
      </c>
      <c r="G47" s="10" t="s">
        <v>70</v>
      </c>
    </row>
    <row r="48" spans="1:7" ht="23.1" customHeight="1">
      <c r="A48" s="20">
        <f t="shared" si="0"/>
        <v>46</v>
      </c>
      <c r="B48" s="10" t="s">
        <v>100</v>
      </c>
      <c r="C48" s="10" t="s">
        <v>107</v>
      </c>
      <c r="D48" s="10" t="s">
        <v>108</v>
      </c>
      <c r="E48" s="10" t="s">
        <v>11</v>
      </c>
      <c r="F48" s="10">
        <v>1</v>
      </c>
      <c r="G48" s="10" t="s">
        <v>70</v>
      </c>
    </row>
    <row r="49" spans="1:7" ht="23.1" customHeight="1">
      <c r="A49" s="20">
        <f t="shared" si="0"/>
        <v>47</v>
      </c>
      <c r="B49" s="10" t="s">
        <v>100</v>
      </c>
      <c r="C49" s="10" t="s">
        <v>109</v>
      </c>
      <c r="D49" s="10" t="s">
        <v>110</v>
      </c>
      <c r="E49" s="10" t="s">
        <v>11</v>
      </c>
      <c r="F49" s="10">
        <v>1</v>
      </c>
      <c r="G49" s="10" t="s">
        <v>70</v>
      </c>
    </row>
    <row r="50" spans="1:7" ht="24">
      <c r="A50" s="20">
        <f t="shared" si="0"/>
        <v>48</v>
      </c>
      <c r="B50" s="10" t="s">
        <v>100</v>
      </c>
      <c r="C50" s="10" t="s">
        <v>111</v>
      </c>
      <c r="D50" s="20" t="s">
        <v>112</v>
      </c>
      <c r="E50" s="10" t="s">
        <v>11</v>
      </c>
      <c r="F50" s="10">
        <v>1</v>
      </c>
      <c r="G50" s="10" t="s">
        <v>70</v>
      </c>
    </row>
    <row r="51" spans="1:7" ht="23.1" customHeight="1">
      <c r="A51" s="20">
        <f t="shared" si="0"/>
        <v>49</v>
      </c>
      <c r="B51" s="10" t="s">
        <v>100</v>
      </c>
      <c r="C51" s="10" t="s">
        <v>113</v>
      </c>
      <c r="D51" s="10" t="s">
        <v>114</v>
      </c>
      <c r="E51" s="10" t="s">
        <v>11</v>
      </c>
      <c r="F51" s="10">
        <v>1</v>
      </c>
      <c r="G51" s="10" t="s">
        <v>70</v>
      </c>
    </row>
  </sheetData>
  <mergeCells count="1">
    <mergeCell ref="A1:H1"/>
  </mergeCells>
  <phoneticPr fontId="1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topLeftCell="A11" zoomScale="130" zoomScaleNormal="130" workbookViewId="0">
      <selection activeCell="B19" sqref="B18:D19"/>
    </sheetView>
  </sheetViews>
  <sheetFormatPr defaultColWidth="9" defaultRowHeight="23.1" customHeight="1"/>
  <cols>
    <col min="1" max="1" width="5.625" style="4" customWidth="1"/>
    <col min="2" max="2" width="18.875" style="4" customWidth="1"/>
    <col min="3" max="3" width="24.25" style="4" customWidth="1"/>
    <col min="4" max="4" width="50.125" style="5" customWidth="1"/>
    <col min="5" max="6" width="8.5" style="4" customWidth="1"/>
    <col min="7" max="7" width="16.75" style="4" customWidth="1"/>
    <col min="8" max="8" width="9" style="4"/>
    <col min="9" max="9" width="17.75" style="4" customWidth="1"/>
    <col min="10" max="16384" width="9" style="4"/>
  </cols>
  <sheetData>
    <row r="1" spans="1:7" s="1" customFormat="1" ht="23.1" customHeight="1">
      <c r="A1" s="6" t="s">
        <v>1</v>
      </c>
      <c r="B1" s="6" t="s">
        <v>115</v>
      </c>
      <c r="C1" s="6" t="s">
        <v>3</v>
      </c>
      <c r="D1" s="6" t="s">
        <v>4</v>
      </c>
      <c r="E1" s="6" t="s">
        <v>5</v>
      </c>
      <c r="F1" s="6" t="s">
        <v>6</v>
      </c>
      <c r="G1" s="6" t="s">
        <v>7</v>
      </c>
    </row>
    <row r="2" spans="1:7" s="2" customFormat="1" ht="24">
      <c r="A2" s="7">
        <f t="shared" ref="A2:A11" si="0">ROW()-1</f>
        <v>1</v>
      </c>
      <c r="B2" s="8" t="s">
        <v>116</v>
      </c>
      <c r="C2" s="8" t="s">
        <v>117</v>
      </c>
      <c r="D2" s="9" t="s">
        <v>118</v>
      </c>
      <c r="E2" s="7"/>
      <c r="F2" s="7"/>
      <c r="G2" s="8"/>
    </row>
    <row r="3" spans="1:7" ht="23.1" customHeight="1">
      <c r="A3" s="10">
        <f t="shared" si="0"/>
        <v>2</v>
      </c>
      <c r="B3" s="8" t="s">
        <v>116</v>
      </c>
      <c r="C3" s="8" t="s">
        <v>85</v>
      </c>
      <c r="D3" s="9" t="s">
        <v>119</v>
      </c>
      <c r="E3" s="11"/>
      <c r="F3" s="11"/>
      <c r="G3" s="12"/>
    </row>
    <row r="4" spans="1:7" s="3" customFormat="1" ht="23.1" customHeight="1">
      <c r="A4" s="13">
        <f t="shared" si="0"/>
        <v>3</v>
      </c>
      <c r="B4" s="14" t="s">
        <v>116</v>
      </c>
      <c r="C4" s="14" t="s">
        <v>120</v>
      </c>
      <c r="D4" s="15" t="s">
        <v>121</v>
      </c>
      <c r="E4" s="16"/>
      <c r="F4" s="16"/>
      <c r="G4" s="17"/>
    </row>
    <row r="5" spans="1:7" s="3" customFormat="1" ht="36">
      <c r="A5" s="13">
        <f t="shared" si="0"/>
        <v>4</v>
      </c>
      <c r="B5" s="14" t="s">
        <v>116</v>
      </c>
      <c r="C5" s="14" t="s">
        <v>122</v>
      </c>
      <c r="D5" s="15" t="s">
        <v>123</v>
      </c>
      <c r="E5" s="16"/>
      <c r="F5" s="16"/>
      <c r="G5" s="17"/>
    </row>
    <row r="6" spans="1:7" s="3" customFormat="1" ht="42" customHeight="1">
      <c r="A6" s="13">
        <f t="shared" si="0"/>
        <v>5</v>
      </c>
      <c r="B6" s="14" t="s">
        <v>116</v>
      </c>
      <c r="C6" s="14" t="s">
        <v>124</v>
      </c>
      <c r="D6" s="15" t="s">
        <v>125</v>
      </c>
      <c r="E6" s="16"/>
      <c r="F6" s="16"/>
      <c r="G6" s="17"/>
    </row>
    <row r="7" spans="1:7" s="3" customFormat="1" ht="23.1" customHeight="1">
      <c r="A7" s="13">
        <f t="shared" si="0"/>
        <v>6</v>
      </c>
      <c r="B7" s="14" t="s">
        <v>116</v>
      </c>
      <c r="C7" s="14" t="s">
        <v>126</v>
      </c>
      <c r="D7" s="15" t="s">
        <v>127</v>
      </c>
      <c r="E7" s="16"/>
      <c r="F7" s="16"/>
      <c r="G7" s="17"/>
    </row>
    <row r="8" spans="1:7" s="3" customFormat="1" ht="36">
      <c r="A8" s="13">
        <f t="shared" si="0"/>
        <v>7</v>
      </c>
      <c r="B8" s="14" t="s">
        <v>116</v>
      </c>
      <c r="C8" s="14" t="s">
        <v>128</v>
      </c>
      <c r="D8" s="15" t="s">
        <v>129</v>
      </c>
      <c r="E8" s="16"/>
      <c r="F8" s="16"/>
      <c r="G8" s="17"/>
    </row>
    <row r="9" spans="1:7" ht="48">
      <c r="A9" s="10">
        <f t="shared" si="0"/>
        <v>8</v>
      </c>
      <c r="B9" s="8" t="s">
        <v>116</v>
      </c>
      <c r="C9" s="8" t="s">
        <v>130</v>
      </c>
      <c r="D9" s="9" t="s">
        <v>131</v>
      </c>
      <c r="E9" s="11"/>
      <c r="F9" s="11"/>
      <c r="G9" s="12"/>
    </row>
    <row r="10" spans="1:7" s="3" customFormat="1" ht="23.1" customHeight="1">
      <c r="A10" s="13">
        <f t="shared" si="0"/>
        <v>9</v>
      </c>
      <c r="B10" s="14" t="s">
        <v>116</v>
      </c>
      <c r="C10" s="14" t="s">
        <v>132</v>
      </c>
      <c r="D10" s="15" t="s">
        <v>133</v>
      </c>
      <c r="E10" s="16"/>
      <c r="F10" s="16"/>
      <c r="G10" s="17"/>
    </row>
    <row r="11" spans="1:7" ht="23.1" customHeight="1">
      <c r="A11" s="10">
        <f t="shared" si="0"/>
        <v>10</v>
      </c>
      <c r="B11" s="8" t="s">
        <v>116</v>
      </c>
      <c r="C11" s="8" t="s">
        <v>134</v>
      </c>
      <c r="D11" s="9" t="s">
        <v>135</v>
      </c>
      <c r="E11" s="11"/>
      <c r="F11" s="11"/>
      <c r="G11" s="12"/>
    </row>
    <row r="12" spans="1:7" s="3" customFormat="1" ht="23.1" customHeight="1">
      <c r="A12" s="13">
        <f t="shared" ref="A12:A19" si="1">ROW()-1</f>
        <v>11</v>
      </c>
      <c r="B12" s="14" t="s">
        <v>116</v>
      </c>
      <c r="C12" s="14" t="s">
        <v>136</v>
      </c>
      <c r="D12" s="15" t="s">
        <v>137</v>
      </c>
      <c r="E12" s="16"/>
      <c r="F12" s="16"/>
      <c r="G12" s="17"/>
    </row>
    <row r="13" spans="1:7" ht="23.1" customHeight="1">
      <c r="A13" s="10">
        <f t="shared" si="1"/>
        <v>12</v>
      </c>
      <c r="B13" s="8" t="s">
        <v>116</v>
      </c>
      <c r="C13" s="8" t="s">
        <v>138</v>
      </c>
      <c r="D13" s="9" t="s">
        <v>139</v>
      </c>
      <c r="E13" s="11"/>
      <c r="F13" s="11"/>
      <c r="G13" s="12"/>
    </row>
    <row r="14" spans="1:7" ht="23.1" customHeight="1">
      <c r="A14" s="10">
        <f t="shared" si="1"/>
        <v>13</v>
      </c>
      <c r="B14" s="8" t="s">
        <v>140</v>
      </c>
      <c r="C14" s="8" t="s">
        <v>141</v>
      </c>
      <c r="D14" s="9" t="s">
        <v>142</v>
      </c>
      <c r="E14" s="11"/>
      <c r="F14" s="11"/>
      <c r="G14" s="12"/>
    </row>
    <row r="15" spans="1:7" s="3" customFormat="1" ht="23.1" customHeight="1">
      <c r="A15" s="13">
        <f t="shared" si="1"/>
        <v>14</v>
      </c>
      <c r="B15" s="14" t="s">
        <v>140</v>
      </c>
      <c r="C15" s="14" t="s">
        <v>143</v>
      </c>
      <c r="D15" s="15" t="s">
        <v>144</v>
      </c>
      <c r="E15" s="16"/>
      <c r="F15" s="16"/>
      <c r="G15" s="17"/>
    </row>
    <row r="16" spans="1:7" s="3" customFormat="1" ht="23.1" customHeight="1">
      <c r="A16" s="13">
        <f t="shared" si="1"/>
        <v>15</v>
      </c>
      <c r="B16" s="14" t="s">
        <v>140</v>
      </c>
      <c r="C16" s="14" t="s">
        <v>145</v>
      </c>
      <c r="D16" s="15" t="s">
        <v>146</v>
      </c>
      <c r="E16" s="16"/>
      <c r="F16" s="16"/>
      <c r="G16" s="17"/>
    </row>
    <row r="17" spans="1:7" ht="23.1" customHeight="1">
      <c r="A17" s="10">
        <f t="shared" si="1"/>
        <v>16</v>
      </c>
      <c r="B17" s="12" t="s">
        <v>140</v>
      </c>
      <c r="C17" s="12" t="s">
        <v>147</v>
      </c>
      <c r="D17" s="5" t="s">
        <v>148</v>
      </c>
      <c r="E17" s="11"/>
      <c r="F17" s="11"/>
      <c r="G17" s="12"/>
    </row>
    <row r="18" spans="1:7" ht="23.1" customHeight="1">
      <c r="A18" s="10">
        <f t="shared" si="1"/>
        <v>17</v>
      </c>
      <c r="B18" s="12" t="s">
        <v>140</v>
      </c>
      <c r="C18" s="12" t="s">
        <v>149</v>
      </c>
      <c r="D18" s="5" t="s">
        <v>150</v>
      </c>
      <c r="E18" s="11"/>
      <c r="F18" s="11"/>
      <c r="G18" s="12"/>
    </row>
    <row r="19" spans="1:7" s="3" customFormat="1" ht="23.1" customHeight="1">
      <c r="A19" s="13">
        <f t="shared" si="1"/>
        <v>18</v>
      </c>
      <c r="B19" s="17" t="s">
        <v>151</v>
      </c>
      <c r="C19" s="17" t="s">
        <v>152</v>
      </c>
      <c r="D19" s="18" t="s">
        <v>153</v>
      </c>
      <c r="E19" s="16"/>
      <c r="F19" s="16"/>
      <c r="G19" s="17"/>
    </row>
  </sheetData>
  <phoneticPr fontId="1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四川添加算发清单 (3)</vt:lpstr>
      <vt:lpstr>国家局算发清单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jay_j</dc:creator>
  <cp:lastModifiedBy>Alex FD</cp:lastModifiedBy>
  <dcterms:created xsi:type="dcterms:W3CDTF">2026-06-17T14:15:00Z</dcterms:created>
  <dcterms:modified xsi:type="dcterms:W3CDTF">2026-07-13T11:07:08Z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B5453E81AC4D4002A56267049509A171_13</vt:lpwstr>
  </property>
  <property fmtid="{D5CDD505-2E9C-101B-9397-08002B2CF9AE}" pid="3" name="KSOProductBuildVer">
    <vt:lpwstr>2052-12.1.0.26391</vt:lpwstr>
  </property>
  <property fmtid="{D5CDD505-2E9C-101B-9397-08002B2CF9AE}" pid="4" name="CalculationRule">
    <vt:i4>1</vt:i4>
  </property>
</Properties>
</file>