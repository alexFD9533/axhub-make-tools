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Sheet1!$3:$177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陈毅飞</author>
    <author>Administrator</author>
  </authors>
  <commentList>
    <comment ref="K3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2025年初张哲更新</t>
        </r>
      </text>
    </comment>
    <comment ref="G21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地奥集团控股
</t>
        </r>
      </text>
    </comment>
    <comment ref="F22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2019应急厅核准</t>
        </r>
      </text>
    </comment>
    <comment ref="G25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地奥集团控股
</t>
        </r>
      </text>
    </comment>
    <comment ref="F26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原为要加上“公主井”</t>
        </r>
      </text>
    </comment>
    <comment ref="F29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2024国家能源局核准
</t>
        </r>
      </text>
    </comment>
    <comment ref="F30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2024国家能源局核准</t>
        </r>
      </text>
    </comment>
    <comment ref="L30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2026.1更新为突出，原填为高瓦斯
</t>
        </r>
      </text>
    </comment>
    <comment ref="M30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2026.1从几复杂更新为复杂</t>
        </r>
      </text>
    </comment>
    <comment ref="Q32" authorId="0">
      <text>
        <r>
          <rPr>
            <sz val="9"/>
            <rFont val="宋体"/>
            <charset val="134"/>
          </rPr>
          <t>2025.12月底90调为30，年内已核减</t>
        </r>
      </text>
    </comment>
    <comment ref="J33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之前为智能，采完后暂无计划布置新的智能化面，2026.1改为综采
</t>
        </r>
      </text>
    </comment>
    <comment ref="F38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2008省发改委核准</t>
        </r>
      </text>
    </comment>
    <comment ref="F39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2011省经信委核准</t>
        </r>
      </text>
    </comment>
    <comment ref="F48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2012省经信委核准
</t>
        </r>
      </text>
    </comment>
    <comment ref="F70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2012省发改委核准</t>
        </r>
      </text>
    </comment>
    <comment ref="G78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地奥集团控股
</t>
        </r>
      </text>
    </comment>
    <comment ref="F85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2010国家能源局核准</t>
        </r>
      </text>
    </comment>
    <comment ref="F86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2012省经信委核准
</t>
        </r>
      </text>
    </comment>
    <comment ref="F87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2012省经信委核准</t>
        </r>
      </text>
    </comment>
    <comment ref="F88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2008年省发改委核准</t>
        </r>
      </text>
    </comment>
    <comment ref="L99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2025.7.29发现不一致，经市局核实，高瓦斯改低瓦斯
</t>
        </r>
      </text>
    </comment>
    <comment ref="F104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市局表示改为升级30万吨</t>
        </r>
      </text>
    </comment>
    <comment ref="F117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2019应急厅核准</t>
        </r>
      </text>
    </comment>
    <comment ref="F157" authorId="0">
      <text>
        <r>
          <rPr>
            <b/>
            <sz val="9"/>
            <rFont val="宋体"/>
            <charset val="134"/>
          </rPr>
          <t>陈毅飞:油房沟</t>
        </r>
      </text>
    </comment>
    <comment ref="Q158" authorId="0">
      <text>
        <r>
          <rPr>
            <b/>
            <sz val="9"/>
            <rFont val="宋体"/>
            <charset val="134"/>
          </rPr>
          <t xml:space="preserve">2025.12月底15调为30
</t>
        </r>
        <r>
          <rPr>
            <sz val="9"/>
            <rFont val="宋体"/>
            <charset val="134"/>
          </rPr>
          <t>年内新核准</t>
        </r>
      </text>
    </comment>
    <comment ref="F16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原名：斑鸠井
</t>
        </r>
      </text>
    </comment>
    <comment ref="F171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2012省经信委核准
</t>
        </r>
      </text>
    </comment>
    <comment ref="F175" authorId="0">
      <text>
        <r>
          <rPr>
            <b/>
            <sz val="9"/>
            <rFont val="宋体"/>
            <charset val="134"/>
          </rPr>
          <t>陈毅飞:</t>
        </r>
        <r>
          <rPr>
            <sz val="9"/>
            <rFont val="宋体"/>
            <charset val="134"/>
          </rPr>
          <t xml:space="preserve">
2011省经信委核准</t>
        </r>
      </text>
    </comment>
  </commentList>
</comments>
</file>

<file path=xl/sharedStrings.xml><?xml version="1.0" encoding="utf-8"?>
<sst xmlns="http://schemas.openxmlformats.org/spreadsheetml/2006/main" count="3041" uniqueCount="614">
  <si>
    <t>附件1</t>
  </si>
  <si>
    <t>2026年初全省煤矿清单</t>
  </si>
  <si>
    <t>集中公告部分</t>
  </si>
  <si>
    <t>总序号</t>
  </si>
  <si>
    <t>市州序号</t>
  </si>
  <si>
    <t>所属市州</t>
  </si>
  <si>
    <t>所属区县</t>
  </si>
  <si>
    <t>煤矿（井）名称旧</t>
  </si>
  <si>
    <t>煤矿（井）名称新</t>
  </si>
  <si>
    <t>企业性质</t>
  </si>
  <si>
    <t>矿井类型</t>
  </si>
  <si>
    <t>煤种</t>
  </si>
  <si>
    <t>机械化程度</t>
  </si>
  <si>
    <t>标准化等级</t>
  </si>
  <si>
    <t>瓦斯等级</t>
  </si>
  <si>
    <t>水文地质类型</t>
  </si>
  <si>
    <t>水患危险等级</t>
  </si>
  <si>
    <t>煤层自燃发火危险性</t>
  </si>
  <si>
    <t>粉尘灾害现状</t>
  </si>
  <si>
    <t>生产能力（建设规模）</t>
  </si>
  <si>
    <t>工业广场地址</t>
  </si>
  <si>
    <t>最新状态分类</t>
  </si>
  <si>
    <r>
      <rPr>
        <sz val="11"/>
        <rFont val="宋体"/>
        <charset val="134"/>
      </rPr>
      <t>一、纳入公告范围的</t>
    </r>
    <r>
      <rPr>
        <b/>
        <sz val="11"/>
        <rFont val="宋体"/>
        <charset val="134"/>
      </rPr>
      <t xml:space="preserve">生产矿
</t>
    </r>
    <r>
      <rPr>
        <sz val="11"/>
        <rFont val="宋体"/>
        <charset val="134"/>
      </rPr>
      <t>（证照齐全且在有效期）</t>
    </r>
  </si>
  <si>
    <r>
      <rPr>
        <sz val="11"/>
        <rFont val="宋体"/>
        <charset val="134"/>
      </rPr>
      <t>二、纳入公告范围的</t>
    </r>
    <r>
      <rPr>
        <b/>
        <sz val="11"/>
        <rFont val="宋体"/>
        <charset val="134"/>
      </rPr>
      <t xml:space="preserve">建设矿
</t>
    </r>
    <r>
      <rPr>
        <sz val="11"/>
        <rFont val="宋体"/>
        <charset val="134"/>
      </rPr>
      <t>（已取得所有开工手续可以正常建设的煤矿）</t>
    </r>
  </si>
  <si>
    <t>自贡市</t>
  </si>
  <si>
    <t>荣县</t>
  </si>
  <si>
    <t>荣县双庆矿业有限公司顺利煤矿</t>
  </si>
  <si>
    <t>民营</t>
  </si>
  <si>
    <t>生产</t>
  </si>
  <si>
    <t>炼焦烟煤</t>
  </si>
  <si>
    <t>综采</t>
  </si>
  <si>
    <t>二级</t>
  </si>
  <si>
    <t>高瓦斯</t>
  </si>
  <si>
    <t>中等</t>
  </si>
  <si>
    <t>Ⅲ</t>
  </si>
  <si>
    <t>不易自燃</t>
  </si>
  <si>
    <t>无</t>
  </si>
  <si>
    <t>四川省自贡市荣县双古镇白云桥村</t>
  </si>
  <si>
    <t>合法生产矿</t>
  </si>
  <si>
    <t>（川）MK安许证字〔2023〕5103211748B号</t>
  </si>
  <si>
    <t>自贡市天宇实业有限公司青草煤矿</t>
  </si>
  <si>
    <t>四川省自贡市荣县高山镇棬子坪村5组</t>
  </si>
  <si>
    <t>（川）MK安许证字〔2024〕5103212052B号</t>
  </si>
  <si>
    <t>四川弘鑫矿业有限公司荣县新胜煤矿</t>
  </si>
  <si>
    <t>三级</t>
  </si>
  <si>
    <t>四川省荣县保华镇五皇村十二组</t>
  </si>
  <si>
    <t>（川）MK安许证字〔2024〕5103210041B号</t>
  </si>
  <si>
    <t>荣县度佳煤业有限公司度新煤矿</t>
  </si>
  <si>
    <t>自燃</t>
  </si>
  <si>
    <t>四川省自贡市荣县度佳镇鸭子凼村8组</t>
  </si>
  <si>
    <t>（川）MK安许证字〔2025〕5103212023B号</t>
  </si>
  <si>
    <t>荣县成大煤业有限公司阳沟河煤矿</t>
  </si>
  <si>
    <t>普采</t>
  </si>
  <si>
    <t>未定级</t>
  </si>
  <si>
    <t>低瓦斯</t>
  </si>
  <si>
    <t>四川省自贡市荣县东兴镇老君坝村三组</t>
  </si>
  <si>
    <t>作业受限</t>
  </si>
  <si>
    <t>荣县燕窝煤业有限公司荣县鹰窝沟煤矿</t>
  </si>
  <si>
    <t>建设</t>
  </si>
  <si>
    <t>四川省荣县铁厂镇三台村三组</t>
  </si>
  <si>
    <t>已核准未开工（核准过期）</t>
  </si>
  <si>
    <t>荣县鑫鑫煤矿</t>
  </si>
  <si>
    <t>自贡市荣县留佳镇老祠村九组</t>
  </si>
  <si>
    <t>未核准</t>
  </si>
  <si>
    <t>攀枝花市</t>
  </si>
  <si>
    <t>西区</t>
  </si>
  <si>
    <t>攀枝花煤业（集团）有限责任公司花山煤矿</t>
  </si>
  <si>
    <t>国有</t>
  </si>
  <si>
    <t>智能</t>
  </si>
  <si>
    <t>Ⅱ</t>
  </si>
  <si>
    <t>有</t>
  </si>
  <si>
    <t>攀枝花市西区陶家渡花山中路11号</t>
  </si>
  <si>
    <t>（川）MK安许证字〔2025〕5104030159A号</t>
  </si>
  <si>
    <t>攀枝花煤业（集团）有限责任公司大宝顶煤矿</t>
  </si>
  <si>
    <t>瘦煤</t>
  </si>
  <si>
    <t>攀枝花市西区干巴塘</t>
  </si>
  <si>
    <t>（川）MK安许证字〔2025〕5104030277A号</t>
  </si>
  <si>
    <t>四川川煤华荣能源有限责任公司太平煤矿</t>
  </si>
  <si>
    <t>一级</t>
  </si>
  <si>
    <t>攀枝花市西区</t>
  </si>
  <si>
    <t>（川）MK安许证字〔2025〕5104030172A号</t>
  </si>
  <si>
    <t>四川川煤华荣能源有限责任公司小宝鼎煤矿</t>
  </si>
  <si>
    <t>（川）MK安许证字〔2025〕5104030164A号</t>
  </si>
  <si>
    <t>仁和区</t>
  </si>
  <si>
    <t>攀枝花市沿江实业有限责任公司（田堡煤矿）二矿</t>
  </si>
  <si>
    <t>柔掩炮采</t>
  </si>
  <si>
    <t>四川省攀枝花市仁和区太平乡革新村</t>
  </si>
  <si>
    <t>（川）MK安许证字〔2026〕5104111930B号</t>
  </si>
  <si>
    <t>攀枝花市炳德工贸有限责任公司何家屋基煤矿</t>
  </si>
  <si>
    <t>无烟煤</t>
  </si>
  <si>
    <t>炮采</t>
  </si>
  <si>
    <t>四川省攀枝花市仁和区前进乡胜利村学校社</t>
  </si>
  <si>
    <t>盐边县</t>
  </si>
  <si>
    <t>盐边县红坭永生炭业有限责任公司马草湾煤矿</t>
  </si>
  <si>
    <t>四川省盐边县红果彝族乡花地村三社</t>
  </si>
  <si>
    <t>（川）MK安许证字〔2025〕5104222051B号</t>
  </si>
  <si>
    <t>盐边县红坭永生炭业有限责任公司大湾子煤矿</t>
  </si>
  <si>
    <t>四川省攀枝花市盐边县红果彝族乡花地村一社</t>
  </si>
  <si>
    <t>已开工未联合试运转</t>
  </si>
  <si>
    <t>四川省应急管理厅</t>
  </si>
  <si>
    <t>川应急审批〔2019〕25号</t>
  </si>
  <si>
    <t>独立扩能</t>
  </si>
  <si>
    <t>攀枝花龙蟒煤业有限责任公司朱窝子煤矿</t>
  </si>
  <si>
    <t>四川省攀枝花市盐边县红果彝族乡红果村</t>
  </si>
  <si>
    <t>（川）MK安许证字〔2024〕5104222053B号</t>
  </si>
  <si>
    <t>攀枝花市安采工贸有限公司兴隆煤矿</t>
  </si>
  <si>
    <t>四川省攀枝花市仁和区太平乡灰嘎村河口社</t>
  </si>
  <si>
    <t>已核准未开工</t>
  </si>
  <si>
    <t>攀枝花三维红坭矿业有限责任公司（赵家湾煤矿）</t>
  </si>
  <si>
    <t>国有控股</t>
  </si>
  <si>
    <t>一般烟煤</t>
  </si>
  <si>
    <t>四川省盐边县红果彝族乡红果村一社</t>
  </si>
  <si>
    <t>川应急审批〔2022〕180号</t>
  </si>
  <si>
    <t>盐边县金谷煤业有限责任公司（1井）</t>
  </si>
  <si>
    <t>四川省盐边县红果彝族乡三滩村一社</t>
  </si>
  <si>
    <t>攀枝花市春福工贸有限责任公司胜利煤矿</t>
  </si>
  <si>
    <t>攀枝花市仁和区前进镇胜利村平田社</t>
  </si>
  <si>
    <t>川应急审批〔2021〕55号</t>
  </si>
  <si>
    <t>改扩建</t>
  </si>
  <si>
    <t>盐边县恒辉煤业有限责任公司三滩煤矿</t>
  </si>
  <si>
    <t>Ⅳ</t>
  </si>
  <si>
    <t>四川省盐边县红果彝族乡三滩村四社</t>
  </si>
  <si>
    <t>川应急审批〔2022〕179号</t>
  </si>
  <si>
    <t>攀枝花三维红坭矿业有限责任公司（滑石板煤矿）</t>
  </si>
  <si>
    <t>四川省盐边县红果彝族乡红果村</t>
  </si>
  <si>
    <t>川应急审批〔2022〕220号</t>
  </si>
  <si>
    <t>四川恒鼎实业有限公司大河沟煤矿大河沟井</t>
  </si>
  <si>
    <t>四川省攀枝花市仁和区务本乡</t>
  </si>
  <si>
    <t>攀枝花市会兴工贸有限责任公司张家湾煤矿</t>
  </si>
  <si>
    <t>四川省攀枝花市仁和区务本乡八村一社</t>
  </si>
  <si>
    <t>川应急审批〔2022〕237号</t>
  </si>
  <si>
    <t>盐边县丰源煤业有限责任公司红坭丰源煤矿</t>
  </si>
  <si>
    <t>四川省盐边县红果彝族乡红果村荒田箐组</t>
  </si>
  <si>
    <t>川应急审批〔2022〕176号</t>
  </si>
  <si>
    <t>泸州市</t>
  </si>
  <si>
    <t>古蔺县</t>
  </si>
  <si>
    <t>古蔺大地矿业有限责任公司古叙矿区大村煤矿</t>
  </si>
  <si>
    <t>智能（设计）</t>
  </si>
  <si>
    <t>突出</t>
  </si>
  <si>
    <t>复杂</t>
  </si>
  <si>
    <t>古蔺大地矿业有限责任公司古叙矿区桑木坝煤矿</t>
  </si>
  <si>
    <t>川南煤业泸州古叙煤电有限公司石屏一矿</t>
  </si>
  <si>
    <t>极复杂</t>
  </si>
  <si>
    <t>Ⅰ</t>
  </si>
  <si>
    <t>四川省古蔺县石屏乡</t>
  </si>
  <si>
    <t>（川）MK安许证字〔2024〕5105251756A号</t>
  </si>
  <si>
    <t>四川省古叙煤田开发股份有限公司古叙矿区观文煤矿</t>
  </si>
  <si>
    <t>四川省古蔺县观文镇</t>
  </si>
  <si>
    <t>（川）MK安许证字〔2025〕5105251947A号</t>
  </si>
  <si>
    <t>叙永县</t>
  </si>
  <si>
    <t>四川省叙永煤矿</t>
  </si>
  <si>
    <t>四川叙永一矿煤业有限责任公司（叙永一矿）</t>
  </si>
  <si>
    <t>四川省泸州市叙永县震东乡</t>
  </si>
  <si>
    <t>（川）MK安许证字〔2025〕5105240280A号</t>
  </si>
  <si>
    <t>泸州金星煤业有限公司古蔺县盛隆煤矿</t>
  </si>
  <si>
    <t>四川省古蔺县大村镇杨华村六组</t>
  </si>
  <si>
    <t>（川）MK安许证字〔2025〕5105251975B号</t>
  </si>
  <si>
    <t>四川省威达煤业有限责任公司泸州市威鑫煤矿</t>
  </si>
  <si>
    <t>泸州市威鑫煤业有限责任公司（威鑫煤矿）</t>
  </si>
  <si>
    <t>四川省叙永县震东乡</t>
  </si>
  <si>
    <t>（川）MK安许证字〔2025〕5105241822A号</t>
  </si>
  <si>
    <t>叙永鑫福煤业有限公司灯盏坪煤矿</t>
  </si>
  <si>
    <t>四川省叙永县震东乡永兴村三社</t>
  </si>
  <si>
    <t>（川）MK安许证字〔2025〕5105241720B号</t>
  </si>
  <si>
    <t>叙永鑫福煤业有限公司后山煤矿</t>
  </si>
  <si>
    <t>四川省泸州市叙永县后山镇丰收村五社</t>
  </si>
  <si>
    <t>（川）MK安许证字〔2024〕5105242031B号</t>
  </si>
  <si>
    <t>古蔺县宏能实业有限公司箭竹坪煤矿</t>
  </si>
  <si>
    <t>四川省古蔺县箭竹乡团结村</t>
  </si>
  <si>
    <t>四川省发展和改革委员会</t>
  </si>
  <si>
    <t>川发改能源〔2008〕820号</t>
  </si>
  <si>
    <t>新建</t>
  </si>
  <si>
    <t>古蔺县四通煤矿</t>
  </si>
  <si>
    <t>四川省泸州市古蔺县大村镇欢乐村二组</t>
  </si>
  <si>
    <t>四川省经济和信息化委员会</t>
  </si>
  <si>
    <t>川经信煤炭函〔2011〕834号</t>
  </si>
  <si>
    <t>资源整合</t>
  </si>
  <si>
    <t>古蔺县石宝镇隆石煤矿</t>
  </si>
  <si>
    <t>四川省泸州市古蔺县石宝镇双湾村4社</t>
  </si>
  <si>
    <t>川应急审批〔2021〕186号</t>
  </si>
  <si>
    <t>叙永县金沙煤业有限公司叙永县金沙煤矿</t>
  </si>
  <si>
    <t>四川省叙永县营山乡金沙村一社</t>
  </si>
  <si>
    <t>广元市</t>
  </si>
  <si>
    <t>旺苍县</t>
  </si>
  <si>
    <t>四川川煤华荣能源有限责任公司唐家河煤矿</t>
  </si>
  <si>
    <t>四川省广元市旺苍县嘉川镇</t>
  </si>
  <si>
    <t>（川）MK安许证字〔2025〕5108212011A号</t>
  </si>
  <si>
    <t>四川川煤华荣能源有限责任公司赵家坝煤矿</t>
  </si>
  <si>
    <t>四川省广元市旺苍县黄洋镇天池村</t>
  </si>
  <si>
    <t>（川）MK安许证字〔2025〕5108212012A号</t>
  </si>
  <si>
    <t>四川川煤华荣能源有限责任公司代池坝煤矿</t>
  </si>
  <si>
    <t>四川省旺苍县普济镇代池村龙江二社</t>
  </si>
  <si>
    <t>（川）MK安许证字〔2023〕5108210044A号</t>
  </si>
  <si>
    <t>四川川煤石洞沟煤业有限责任公司</t>
  </si>
  <si>
    <t>四川省旺苍县三江镇战旗村四社</t>
  </si>
  <si>
    <t>（川）MK安许证字〔2024〕5108211511A号</t>
  </si>
  <si>
    <t>广元市小溪沟煤业有限公司（小溪沟煤矿）</t>
  </si>
  <si>
    <t>Ⅲ级</t>
  </si>
  <si>
    <t>四川省广元市旺苍县三江镇花园村十社</t>
  </si>
  <si>
    <t>（川）MK安许证字〔2024〕5108212022B号</t>
  </si>
  <si>
    <t>旺苍白水兴旺煤业有限责任公司（白水煤矿）</t>
  </si>
  <si>
    <t>Ⅰ级</t>
  </si>
  <si>
    <t>四川省广元市旺苍县白水镇河边村</t>
  </si>
  <si>
    <t>（川）MK安许证字〔2023〕5108210656B号</t>
  </si>
  <si>
    <t>利州区</t>
  </si>
  <si>
    <t>广元市天道煤业有限公司金珠煤矿</t>
  </si>
  <si>
    <t>Ⅱ级</t>
  </si>
  <si>
    <t>四川省广元市市中区三堆镇午凤村</t>
  </si>
  <si>
    <t>川经信煤炭函〔2012〕240号</t>
  </si>
  <si>
    <t>广元市华洋商贸有限公司凉水泉煤矿</t>
  </si>
  <si>
    <t>简单</t>
  </si>
  <si>
    <t>Ⅳ级</t>
  </si>
  <si>
    <t>四川省广元市中区河西办事处白山村二组</t>
  </si>
  <si>
    <t>广元市碗厂河煤业有限责任公司碗厂河煤矿</t>
  </si>
  <si>
    <t>四川省旺苍县三江镇桃红村七社</t>
  </si>
  <si>
    <t>川应急审批〔2023〕217号</t>
  </si>
  <si>
    <t>广元矿鑫能源有限责任公司旺苍黄家沟煤矿</t>
  </si>
  <si>
    <t>四川省广元市旺苍县东河镇双农村</t>
  </si>
  <si>
    <t>川应急审批〔2021〕57号</t>
  </si>
  <si>
    <t>旺苍县明兴煤业有限责任公司梁家山煤矿</t>
  </si>
  <si>
    <t>四川省广元市旺苍县加川镇五红村</t>
  </si>
  <si>
    <t>内江市</t>
  </si>
  <si>
    <t>威远县</t>
  </si>
  <si>
    <t>内江市沙湾煤业有限公司向家寨煤矿</t>
  </si>
  <si>
    <t>四川省内江市威远县两河镇广阳村</t>
  </si>
  <si>
    <t>（川）MK安许证字〔2024〕5110240049B号</t>
  </si>
  <si>
    <t>资中县</t>
  </si>
  <si>
    <t>资中县葫芦寺矿业有限公司葫芦寺煤矿</t>
  </si>
  <si>
    <t>四川省内江市资中县双河镇葫芦寺村</t>
  </si>
  <si>
    <t>（川）MK安许证字〔2023〕5110250038B号</t>
  </si>
  <si>
    <t>内江南光有限责任公司楠木寺煤矿</t>
  </si>
  <si>
    <t>四川省内江市资中县公民镇楠木寺村</t>
  </si>
  <si>
    <t>（川）MK安许证字〔2023〕5110250042B号</t>
  </si>
  <si>
    <t>内江市双鹰煤炭有限责任公司老鹰岩井</t>
  </si>
  <si>
    <t>四川省内江市资中县双河镇</t>
  </si>
  <si>
    <t>（川）MK安许证字〔2025〕5110250027B号</t>
  </si>
  <si>
    <t>威远县太和能源有限责任公司太和煤矿</t>
  </si>
  <si>
    <t>四川省内江市威远县两河镇黄林村8社</t>
  </si>
  <si>
    <t>（川）MK安许证字〔2024〕5110242016B号</t>
  </si>
  <si>
    <t>威远县红炉井煤矿</t>
  </si>
  <si>
    <t>四川省内江市威远县连界镇新农村23社</t>
  </si>
  <si>
    <t>川应急审批〔2020〕62号</t>
  </si>
  <si>
    <t>威远县铸铜煤业有限公司铸铜煤矿</t>
  </si>
  <si>
    <t>四川省威远县越溪镇双石村二社</t>
  </si>
  <si>
    <t>联合试运转</t>
  </si>
  <si>
    <t>安证正在履行签批程序</t>
  </si>
  <si>
    <t>川应急审批〔2020〕59号</t>
  </si>
  <si>
    <t>威远县侨生能源有限公司侨生煤矿</t>
  </si>
  <si>
    <t>四川省威远县小河镇葡萄村七社</t>
  </si>
  <si>
    <t>川应急审批〔2021〕53号</t>
  </si>
  <si>
    <t>四川荣威集团连界工农煤业有限公司工农煤矿</t>
  </si>
  <si>
    <t>四川省内江市威远县连界镇新农村4社</t>
  </si>
  <si>
    <t>川应急审批〔2023〕95号</t>
  </si>
  <si>
    <t>乐山市</t>
  </si>
  <si>
    <t>犍为县</t>
  </si>
  <si>
    <t>四川嘉阳集团有限责任公司嘉阳煤矿</t>
  </si>
  <si>
    <t>四川省乐山市犍为县芭沟镇跃进桥</t>
  </si>
  <si>
    <t>（川）MK安许证字〔2025〕5111230163A号</t>
  </si>
  <si>
    <t>犍为县谢石盘煤业有限公司谢石盘煤矿</t>
  </si>
  <si>
    <t>四川省犍为县玉津镇塘坝社区8组</t>
  </si>
  <si>
    <t>（川）MK安许证字〔2023〕5111230076B号</t>
  </si>
  <si>
    <t>犍为塘坝煤业有限公司塘坝煤矿</t>
  </si>
  <si>
    <t>四川省犍为县玉津镇爱国村8组</t>
  </si>
  <si>
    <t>（川）MK安许证字〔2023〕5111230623B号</t>
  </si>
  <si>
    <t>犍为金龙煤业有限公司金龙煤矿</t>
  </si>
  <si>
    <t>四川省犍为县罗城镇金石井村3组</t>
  </si>
  <si>
    <t>（川）MK安许证字〔2025〕5111232021B号</t>
  </si>
  <si>
    <t>犍为县新店儿煤业有限公司新店儿煤矿</t>
  </si>
  <si>
    <t xml:space="preserve">四川省犍为县罗城镇二龙村四组 </t>
  </si>
  <si>
    <t>（川）MK安许证字〔2023〕5111232027B号</t>
  </si>
  <si>
    <t>四川和邦投资集团有限公司犍为桅杆坝煤矿</t>
  </si>
  <si>
    <t>四川省乐山市犍为县敖家镇</t>
  </si>
  <si>
    <t>（川）MK安许证字〔2023〕5111231726A号</t>
  </si>
  <si>
    <t>乐山市犍为寿保煤业有限公司犍为两河口煤矿</t>
  </si>
  <si>
    <t>犍为县敖家镇青山村1组</t>
  </si>
  <si>
    <t>（川）MK安许证字〔2025〕5111231942B号</t>
  </si>
  <si>
    <t>五通桥区</t>
  </si>
  <si>
    <t>四川和邦集团乐山吉祥煤业有限责任公司龙洞湾井</t>
  </si>
  <si>
    <t>四川省乐山市五通桥区金粟镇五一村三组</t>
  </si>
  <si>
    <t>（川）MK安许证字〔2025〕5111120020B号</t>
  </si>
  <si>
    <t>四川龙霸矿业有限公司龙坝煤矿</t>
  </si>
  <si>
    <t>Ⅲ级（较危险级）</t>
  </si>
  <si>
    <t>四川省乐山市五通桥区桥沟镇龙坝村</t>
  </si>
  <si>
    <t>川发改能源〔2012〕463号</t>
  </si>
  <si>
    <t>沙湾区</t>
  </si>
  <si>
    <t>乐山市沙湾区金龟山煤矿</t>
  </si>
  <si>
    <t>四川省乐山市沙湾区踏水镇踏水村三组</t>
  </si>
  <si>
    <t>（川）MK安许证字〔2024〕5111112050B号</t>
  </si>
  <si>
    <t>乐山市五通桥区庙儿山煤业有限公司庙儿山煤矿</t>
  </si>
  <si>
    <t>四川省乐山市五通桥区金粟镇庙儿山村</t>
  </si>
  <si>
    <t>（川）MK安许证字〔2025〕5111122056B号</t>
  </si>
  <si>
    <t>拟公告为生产矿</t>
  </si>
  <si>
    <t>乐山市宏岳煤业有限公司五通桥宏岳煤矿</t>
  </si>
  <si>
    <t>四川省乐山市五通桥区西坝镇建新村8组</t>
  </si>
  <si>
    <t>川应急审批〔2020〕66号</t>
  </si>
  <si>
    <t>是</t>
  </si>
  <si>
    <t>犍为县陶家河煤业有限公司陶家河煤矿</t>
  </si>
  <si>
    <t>四川省犍为县罗城镇白鹤村</t>
  </si>
  <si>
    <t>川应急审批〔2022〕114号</t>
  </si>
  <si>
    <t>乐山沫凤能源有限责任公司黄泥埂煤矿</t>
  </si>
  <si>
    <t>四川省乐山市沙湾区踏水镇黄坝村</t>
  </si>
  <si>
    <t>（川）MK安许证字〔2025〕5111112048B号</t>
  </si>
  <si>
    <t>乐山市沙湾区协和煤业有限责任公司胜利煤矿</t>
  </si>
  <si>
    <t>四川省乐山市沙湾区福禄镇雷店村四组</t>
  </si>
  <si>
    <t>川应急审批〔2022〕264号</t>
  </si>
  <si>
    <t>宜宾市</t>
  </si>
  <si>
    <t>筠连县</t>
  </si>
  <si>
    <t>四川省川南煤业有限责任公司鲁班山北矿</t>
  </si>
  <si>
    <t>四川省宜宾市筠连县巡司镇</t>
  </si>
  <si>
    <t>（川）MK安许证字〔2025〕5115272036A号</t>
  </si>
  <si>
    <t>珙县</t>
  </si>
  <si>
    <t>四川省宏能芙蓉煤矿有限责任公司芙蓉煤矿</t>
  </si>
  <si>
    <t>容易自燃</t>
  </si>
  <si>
    <t>四川省珙县巡场镇芙蓉村一社</t>
  </si>
  <si>
    <t>四川芙蓉集团实业有限责任公司新维煤矿新场井</t>
  </si>
  <si>
    <t>四川省筠连县维新镇新华村</t>
  </si>
  <si>
    <t>（川）MK安许证字〔2025〕5115271945A号</t>
  </si>
  <si>
    <t>筠连县九龙煤业有限公司九龙煤矿</t>
  </si>
  <si>
    <t>四川省筠连县镇舟镇尖峰村一组</t>
  </si>
  <si>
    <t>（川）MK安许证字〔2024〕5115271805B号</t>
  </si>
  <si>
    <t>筠连县分水岭煤业有限公司巡司镇二煤矿</t>
  </si>
  <si>
    <t>四川省筠连县巡司镇土房村一组</t>
  </si>
  <si>
    <t>（川）MK安许证字〔2024〕5115272049B号</t>
  </si>
  <si>
    <t>筠连县金钟煤业有限公司金钟煤矿</t>
  </si>
  <si>
    <t>四川省筠连县镇舟镇金钟村二组</t>
  </si>
  <si>
    <t>（川）MK安许证字〔2023〕5115272026B号</t>
  </si>
  <si>
    <t>兴文县</t>
  </si>
  <si>
    <t>兴文县大旗煤业有限责任公司大旗煤矿</t>
  </si>
  <si>
    <t>私营合伙</t>
  </si>
  <si>
    <t xml:space="preserve">兴文县大坝苗族乡平寨村三组 </t>
  </si>
  <si>
    <t>兴文县五星煤业有限责任公司五星煤矿</t>
  </si>
  <si>
    <t>四川省宜宾市兴文县僰王山镇天堂村2组</t>
  </si>
  <si>
    <t>四川芙蓉集团实业有限责任公司新维煤矿维新井</t>
  </si>
  <si>
    <t>国家发展和改革委员会</t>
  </si>
  <si>
    <t>发改能源〔2010〕2544号</t>
  </si>
  <si>
    <t>兴文县富有煤业有限责任公司富有煤矿二井</t>
  </si>
  <si>
    <t>四川省兴文县仙峰乡大元村三组</t>
  </si>
  <si>
    <t>川经信煤炭函〔2012〕812号</t>
  </si>
  <si>
    <t>兴文县富有煤业有限责任公司富有煤矿一井</t>
  </si>
  <si>
    <t>四川省宜宾市兴文县仙峰乡满山红村四组</t>
  </si>
  <si>
    <t>川经信煤炭函〔2012〕811号</t>
  </si>
  <si>
    <t>兴文县宏能煤业有限公司金鹅池煤矿</t>
  </si>
  <si>
    <t>兴文县大河乡回龙村六组</t>
  </si>
  <si>
    <t>川发改能源〔2008〕632号</t>
  </si>
  <si>
    <t>高县</t>
  </si>
  <si>
    <t>高县欣雅煤业有限公司怀远煤矿</t>
  </si>
  <si>
    <t xml:space="preserve"> 民营</t>
  </si>
  <si>
    <t>柔掩机采</t>
  </si>
  <si>
    <t>四川省宜宾市高县文江镇桂花村</t>
  </si>
  <si>
    <t>四川义金煤业有限公司中村煤矿</t>
  </si>
  <si>
    <t>四川省筠连县高坎乡红旗村五组</t>
  </si>
  <si>
    <t>川应急审批〔2020〕99号</t>
  </si>
  <si>
    <t>筠连县水洋煤业有限责任公司水洋煤矿</t>
  </si>
  <si>
    <t>四川省筠连县镇舟镇前进村</t>
  </si>
  <si>
    <t>筠连县金久煤业有限公司金久煤矿</t>
  </si>
  <si>
    <t>筠连县沐爱镇金坪村九组</t>
  </si>
  <si>
    <t>（川）MK安许证字〔2025〕5115272055B号</t>
  </si>
  <si>
    <t>江安县</t>
  </si>
  <si>
    <t>江安县煤矿有限公司江安县煤矿</t>
  </si>
  <si>
    <t>四川省江安县五矿镇金锣村</t>
  </si>
  <si>
    <t>珙县万兴煤炭生产有限公司万兴煤矿</t>
  </si>
  <si>
    <t>私营企业</t>
  </si>
  <si>
    <t>四川省珙县洛表镇民权村四社</t>
  </si>
  <si>
    <t>筠连县安和达矿业有限公司（筠连县巡司小河煤矿）</t>
  </si>
  <si>
    <t>四川省宜宾市筠连县巡司镇小河村四组</t>
  </si>
  <si>
    <t>筠连县新田煤业有限责任公司新田煤矿</t>
  </si>
  <si>
    <t>四川省筠连县巡司镇荷花村三组</t>
  </si>
  <si>
    <t>筠连县黄金岩煤业有限公司黄金岩煤矿</t>
  </si>
  <si>
    <t>海南万启洋贸易有限公司黄金岩煤矿</t>
  </si>
  <si>
    <t>四川省筠连县高坪乡英雄村关心组</t>
  </si>
  <si>
    <t>筠连县蒿坝镇回龙煤业有限责任公司回龙煤矿</t>
  </si>
  <si>
    <t>四川省筠连县蒿坝镇高桥村</t>
  </si>
  <si>
    <t>筠连县柏香林煤业有限责任公司柏香林煤矿</t>
  </si>
  <si>
    <t>四川省宜宾市筠连县筠连镇海瀛青龙村令溪组</t>
  </si>
  <si>
    <t>川应急审批〔2021〕187号</t>
  </si>
  <si>
    <t>成都安和达矿业有限公司小河联办煤矿</t>
  </si>
  <si>
    <t>四川省筠连县巡司镇小河村二组</t>
  </si>
  <si>
    <t>（川）MK安许证字(2025)5115272057B号</t>
  </si>
  <si>
    <t>高县蕉村镇永丰煤厂</t>
  </si>
  <si>
    <t>高县蕉村镇裕丰村</t>
  </si>
  <si>
    <t>珙县流水岩煤炭生产有限公司流水岩煤矿</t>
  </si>
  <si>
    <t>四川省珙县罗渡乡杨杈村九组</t>
  </si>
  <si>
    <t>珙县昌宏煤炭生产有限公司底洞煤矿</t>
  </si>
  <si>
    <t>四川省宜宾市珙县底硐镇瑞华村六社</t>
  </si>
  <si>
    <t>筠连县顺河煤业有限责任公司平山煤矿</t>
  </si>
  <si>
    <t>四川省筠连县维新镇周坪村四组</t>
  </si>
  <si>
    <t>川应急审批〔2023〕190号</t>
  </si>
  <si>
    <t>南溪县</t>
  </si>
  <si>
    <t>南溪区蕴炽矿业有限公司（菜子沟煤矿）</t>
  </si>
  <si>
    <t>四川省宜宾市南溪县大观镇菜花村</t>
  </si>
  <si>
    <t>兴文县浩源煤业有限责任公司龙塘煤矿</t>
  </si>
  <si>
    <t>四川省宜宾市兴文县周家镇两岸村三组</t>
  </si>
  <si>
    <t>广安市</t>
  </si>
  <si>
    <t>前锋区</t>
  </si>
  <si>
    <t>四川华蓥山龙滩煤电有限责任公司（龙滩煤矿）</t>
  </si>
  <si>
    <t>四川省广安市广安区小井乡</t>
  </si>
  <si>
    <t>（川）MK安许证字〔2024〕 5116021738A号</t>
  </si>
  <si>
    <t>华蓥市</t>
  </si>
  <si>
    <t>四川省华蓥山煤业股份有限公司绿水洞煤矿</t>
  </si>
  <si>
    <t>四川省华蓥市天池镇北大街40号</t>
  </si>
  <si>
    <t>（川）MK安许证字〔2025〕5116810165A号</t>
  </si>
  <si>
    <t>四川华蓥山煤业股份有限公司李子垭南二井</t>
  </si>
  <si>
    <t>四川省华蓥市坛同镇椿木乡</t>
  </si>
  <si>
    <t>（川）MK安许证字〔2023〕5116231824A号</t>
  </si>
  <si>
    <t>四川省华蓥山煤业股份有限公司龙门峡南煤矿</t>
  </si>
  <si>
    <t>四川省广安市广安区光辉乡</t>
  </si>
  <si>
    <t>（川）MK安许证字〔2024〕5116021971A号</t>
  </si>
  <si>
    <t>邻水县</t>
  </si>
  <si>
    <t>四川省龙泉煤矿有限公司邻水龙泉煤矿</t>
  </si>
  <si>
    <t>广安市邻水县高滩镇马鹿村十二组</t>
  </si>
  <si>
    <t>（川）MK安许证字〔2024〕5116231733B号</t>
  </si>
  <si>
    <t>华蓥市林丰煤炭有限责任公司红岩煤矿</t>
  </si>
  <si>
    <t>华蓥市溪口镇觉庵村二组</t>
  </si>
  <si>
    <t>（川）MK安许证字〔2023〕5116811915B号</t>
  </si>
  <si>
    <t>邻水县中山煤矿有限责任公司（中山煤矿）</t>
  </si>
  <si>
    <t>四川省邻水县观音桥镇白羊寺村六组</t>
  </si>
  <si>
    <t>（川）MK安许证字〔2025〕5116232038B号</t>
  </si>
  <si>
    <t>四川邻水县金亿煤矿有限责任公司金亿煤矿</t>
  </si>
  <si>
    <t>四川省广安市邻水县西天乡走马村九组</t>
  </si>
  <si>
    <t>（川）MK安许证字〔2024〕5116231692B号</t>
  </si>
  <si>
    <t>邻水县宏源煤业有限公司偏桥沟煤矿</t>
  </si>
  <si>
    <t>四川省广安市邻水县观音桥镇樱花岭村1组</t>
  </si>
  <si>
    <t>（川）MK安许证字〔2024〕5116232008B号</t>
  </si>
  <si>
    <t>广安鑫福煤业有限公司广安煤矿</t>
  </si>
  <si>
    <t>广安市广安区建安中路183号2楼</t>
  </si>
  <si>
    <t>邻水县天宝寨煤业有限责任公司天宝寨煤矿</t>
  </si>
  <si>
    <t>四川省广安市邻水县合流镇中心村十二组</t>
  </si>
  <si>
    <t>川应急审批〔2019〕24号</t>
  </si>
  <si>
    <t>邻水县复盛关门石煤矿有限责任公司</t>
  </si>
  <si>
    <t>四川省广安市邻水县复盛乡青林村三组</t>
  </si>
  <si>
    <t>川应急审批〔2020〕168号</t>
  </si>
  <si>
    <t>邻水县陈二湾煤矿</t>
  </si>
  <si>
    <t xml:space="preserve">四川省广安市邻水县甘坝乡斜岩村四组 </t>
  </si>
  <si>
    <t>邻水富源矿业有限公司观音桥煤矿</t>
  </si>
  <si>
    <t>四川省广安市邻水县观音桥镇擂鼓坪村一组</t>
  </si>
  <si>
    <t>达州市</t>
  </si>
  <si>
    <t>达川区</t>
  </si>
  <si>
    <t>四川川煤华荣能源有限责任公司金刚煤矿</t>
  </si>
  <si>
    <t>达州市达川区石板镇金刚街1号34栋安全生产中心</t>
  </si>
  <si>
    <t>（川）MK安许证字〔2025〕5117210157A号</t>
  </si>
  <si>
    <t>四川达竹煤电（集团）有限责任公司（斌郎煤矿）</t>
  </si>
  <si>
    <t>四川省达州市高新区斌郎乡新街68号</t>
  </si>
  <si>
    <t>（川）MK安许证字〔2025〕5117210155A号</t>
  </si>
  <si>
    <t>四川达竹煤电（集团）有限责任公司小河嘴煤矿</t>
  </si>
  <si>
    <t>四川省达川区三里坪街道小河嘴社区同安路410号办公楼</t>
  </si>
  <si>
    <t>（川）MK安许证字〔2024〕5117210175A号</t>
  </si>
  <si>
    <t>四川达竹煤电（集团）有限责任公司铁山南煤矿</t>
  </si>
  <si>
    <t>达州市达川区渡市镇钟咀社区第三居民小组</t>
  </si>
  <si>
    <t>（川）MK安许证字〔2024〕5117210154A号</t>
  </si>
  <si>
    <t>大竹县</t>
  </si>
  <si>
    <t>四川川煤华荣能源有限责任公司（柏林煤矿）</t>
  </si>
  <si>
    <t>四川省达州市大竹县柏林镇洪河村13社柏林煤矿办公生活区办公楼</t>
  </si>
  <si>
    <t>（川）MK安许证字〔2025〕5117240171A号</t>
  </si>
  <si>
    <t>大竹县堡子矿业有限责任公司（堡子煤矿）</t>
  </si>
  <si>
    <t>四川省大竹县乌木镇广子村四社</t>
  </si>
  <si>
    <t>（川）MK安许证字〔2024〕5117242042B号</t>
  </si>
  <si>
    <t>开江县</t>
  </si>
  <si>
    <t>开江县翰田坝煤矿</t>
  </si>
  <si>
    <t>高档普采</t>
  </si>
  <si>
    <t>四川省开江县永兴镇方家沟村</t>
  </si>
  <si>
    <t>（川）MK安许证字〔2024〕5117232014B号</t>
  </si>
  <si>
    <t>宣汉县</t>
  </si>
  <si>
    <t>四川省宣汉上峡煤焦有限公司上峡煤矿</t>
  </si>
  <si>
    <t>四川省宣汉县上峡镇杨柳关村</t>
  </si>
  <si>
    <t>（川）MK安许证字〔2024〕5117221990B号</t>
  </si>
  <si>
    <t>万源市</t>
  </si>
  <si>
    <t>万源市青花镇黑石溪煤矿二煤矿</t>
  </si>
  <si>
    <t>四川省万源市青花镇五村五社</t>
  </si>
  <si>
    <t>（川）MK安许证字〔2025〕5117812054B号</t>
  </si>
  <si>
    <t>达州览胜企业管理有限公司（保康煤矿）</t>
  </si>
  <si>
    <t>四川省达县斌郎乡许家村四社</t>
  </si>
  <si>
    <t>（川）MK安许证字〔2025〕5117212046B号</t>
  </si>
  <si>
    <t>宣汉县金旺煤业有限公司福禄煤矿</t>
  </si>
  <si>
    <t>四川省宣汉县塔河镇石峡村</t>
  </si>
  <si>
    <r>
      <rPr>
        <sz val="11"/>
        <color rgb="FFFF0000"/>
        <rFont val="宋体"/>
        <charset val="134"/>
      </rPr>
      <t>（川）MK安许证字〔2025〕</t>
    </r>
    <r>
      <rPr>
        <sz val="11"/>
        <color rgb="FFFF0000"/>
        <rFont val="Times New Roman"/>
        <charset val="134"/>
      </rPr>
      <t>‌</t>
    </r>
    <r>
      <rPr>
        <sz val="11"/>
        <color rgb="FFFF0000"/>
        <rFont val="宋体"/>
        <charset val="134"/>
      </rPr>
      <t>5117222060B号</t>
    </r>
  </si>
  <si>
    <t>达州市达县鸿源煤业有限公司水沟槽煤矿</t>
  </si>
  <si>
    <t xml:space="preserve">达州市达县鸿源煤业有限公司水沟槽煤矿 </t>
  </si>
  <si>
    <t>四川达州市达川区渡市镇木头社区</t>
  </si>
  <si>
    <t>达县渡市东坪煤矿</t>
  </si>
  <si>
    <t>达县渡市镇民兴村三社</t>
  </si>
  <si>
    <t>达县龙会乡煤厂</t>
  </si>
  <si>
    <t>四川省达州市达川区木头乡星火村六组</t>
  </si>
  <si>
    <t>达州市达县建设煤矿</t>
  </si>
  <si>
    <t>四川省达州市达县河市镇金湾村四社</t>
  </si>
  <si>
    <t>（川）MK安许证字〔2025〕5130212059B号</t>
  </si>
  <si>
    <t>达州市黑滩煤业有限公司黑滩煤矿</t>
  </si>
  <si>
    <t>四川省大竹县中华镇中华村村九社</t>
  </si>
  <si>
    <t>川应急审批〔2022〕174号</t>
  </si>
  <si>
    <t>大竹县永兴矿业有限责任公司华家沟煤矿</t>
  </si>
  <si>
    <t>四川省大竹县永胜镇清溪村六社</t>
  </si>
  <si>
    <t>川应急审批〔2023〕31号</t>
  </si>
  <si>
    <t>大竹县双溪乡刘家沟联合煤矿</t>
  </si>
  <si>
    <t>四川省大竹县观音镇双溪村11社</t>
  </si>
  <si>
    <t>川应急审批〔2023〕26号</t>
  </si>
  <si>
    <t>大竹县红旗煤业有限责任公司田坝煤矿</t>
  </si>
  <si>
    <t>四川省大竹县杨家镇皂角村六社</t>
  </si>
  <si>
    <t>川应急审批〔2022〕162号</t>
  </si>
  <si>
    <t>达州市开江花草沟煤业有限责任公司花草沟煤矿</t>
  </si>
  <si>
    <t>四川省开江县灵岩乡李家嘴村十社</t>
  </si>
  <si>
    <t>川应急审批〔2023〕188号</t>
  </si>
  <si>
    <t>达州市开江星源煤矿</t>
  </si>
  <si>
    <t>达州市开江星源煤矿有限公司</t>
  </si>
  <si>
    <t>四川省开江县广福镇双河口村</t>
  </si>
  <si>
    <t>渠县</t>
  </si>
  <si>
    <t>渠县金林煤业有限公司金林煤矿</t>
  </si>
  <si>
    <t>四川省达州市渠县汇东乡太平村七社</t>
  </si>
  <si>
    <t>渠县富源煤矿</t>
  </si>
  <si>
    <t>四川省达州市渠县琅琊镇金马村七社</t>
  </si>
  <si>
    <t>通川区</t>
  </si>
  <si>
    <t>达州市通川区杨家沟煤业有限公司杨家沟煤矿</t>
  </si>
  <si>
    <t>四川省达州市通川区双龙镇骑龙村一社</t>
  </si>
  <si>
    <t>川应急审批〔2021〕66号</t>
  </si>
  <si>
    <t>达州市万源万田煤业有限公司万田煤矿</t>
  </si>
  <si>
    <t>四川省万源市白沙镇牟家坝村西溪沟</t>
  </si>
  <si>
    <t>川应急审批〔2023〕34号</t>
  </si>
  <si>
    <t>四川省万源市万通实业有限公司陈家湾煤矿</t>
  </si>
  <si>
    <t>四川省达州市万源市太平镇四合村一社</t>
  </si>
  <si>
    <t>达州市吉祥煤业有限公司吉祥煤矿</t>
  </si>
  <si>
    <t>四川省宣汉县新华镇河坝村</t>
  </si>
  <si>
    <t>川应急审批〔2023〕46号</t>
  </si>
  <si>
    <t>宣汉县彭河煤业有限公司彭河煤矿</t>
  </si>
  <si>
    <t>四川省宣汉县芭蕉镇铁溪村</t>
  </si>
  <si>
    <t>川应急审批〔2022〕994号</t>
  </si>
  <si>
    <t>达州市宣汉县七里峡煤业有限公司七里峡煤矿</t>
  </si>
  <si>
    <t>达州市七里峡煤业有限公司七里峡煤矿</t>
  </si>
  <si>
    <t>四川省宣汉县天生镇洞宫社区</t>
  </si>
  <si>
    <t>达州市炉坪煤矿</t>
  </si>
  <si>
    <t>四川省宣汉县东乡街道秧田村</t>
  </si>
  <si>
    <r>
      <rPr>
        <sz val="11"/>
        <color rgb="FFFF0000"/>
        <rFont val="宋体"/>
        <charset val="134"/>
      </rPr>
      <t>（川）MK安许证字〔2025〕</t>
    </r>
    <r>
      <rPr>
        <sz val="11"/>
        <color rgb="FFFF0000"/>
        <rFont val="Times New Roman"/>
        <charset val="134"/>
      </rPr>
      <t>‌</t>
    </r>
    <r>
      <rPr>
        <sz val="11"/>
        <color rgb="FFFF0000"/>
        <rFont val="宋体"/>
        <charset val="134"/>
      </rPr>
      <t>5117222058B号</t>
    </r>
  </si>
  <si>
    <t>达州市兰草沟煤业有限责任公司兰草沟煤矿</t>
  </si>
  <si>
    <t>四川省达川区大树镇九龙村</t>
  </si>
  <si>
    <t>川应急审批〔2022〕133号</t>
  </si>
  <si>
    <t>渠县新临江煤矿（月台矿井）</t>
  </si>
  <si>
    <t>四川省渠县汇东乡龙眼村</t>
  </si>
  <si>
    <t>四川宣汉县志昌煤炭有限责任公司楠木沟煤矿</t>
  </si>
  <si>
    <t>四川省宣汉县上峡镇洞口村</t>
  </si>
  <si>
    <t>四川省大路煤矿有限责任公司南矿</t>
  </si>
  <si>
    <t>达州博通煤业有限公司大路煤矿</t>
  </si>
  <si>
    <t>四川省宣汉县天生镇大路村</t>
  </si>
  <si>
    <t>川应急审批〔2022〕117号</t>
  </si>
  <si>
    <t>达州森茂能源有限公司达昌煤矿</t>
  </si>
  <si>
    <t>四川省达州市达川区赵家镇龙洞坝村</t>
  </si>
  <si>
    <t>川应急审批〔2022〕134号</t>
  </si>
  <si>
    <t>达州博瑞实业有限公司易家沟煤矿三号井</t>
  </si>
  <si>
    <t>四川省达州市达县平滩乡宝塔村六社</t>
  </si>
  <si>
    <t>川应急审批〔2022〕131号</t>
  </si>
  <si>
    <t>达县赢川矿业有限公司高益煤矿</t>
  </si>
  <si>
    <t>四川省达州市达川区亭子镇花园村7社</t>
  </si>
  <si>
    <t>川应急审批〔2022〕269号</t>
  </si>
  <si>
    <t>四川达县茶园煤电有限公司（茶园煤矿）</t>
  </si>
  <si>
    <t>四川省达州市达县马家乡肖家村五社</t>
  </si>
  <si>
    <t>达州市全新能源发展有限公司孔家沟煤矿</t>
  </si>
  <si>
    <t>四川省大竹县石桥铺镇高兴村四社</t>
  </si>
  <si>
    <t>川应急审批〔2022〕164号</t>
  </si>
  <si>
    <t>达州市兴源煤业有限责任公司新兴煤矿</t>
  </si>
  <si>
    <t>四川省达州市通川区复兴镇九龙村七组</t>
  </si>
  <si>
    <t>川应急审批〔2022〕175号</t>
  </si>
  <si>
    <t>渠县新临江煤矿（水井湾矿井）</t>
  </si>
  <si>
    <t>四川省达州市渠县汇南乡金鱼村三社</t>
  </si>
  <si>
    <t>雅安市</t>
  </si>
  <si>
    <t>天全县</t>
  </si>
  <si>
    <t>天全县天民昂州煤炭有限公司昂州煤矿北矿</t>
  </si>
  <si>
    <t>四川省天全县紫石乡</t>
  </si>
  <si>
    <t>天民昂州煤炭有限公司昂州煤矿南矿</t>
  </si>
  <si>
    <t>四川省雅安市天全县紫石乡</t>
  </si>
  <si>
    <t>荥经县</t>
  </si>
  <si>
    <t>雅安天坤煤业有限责任公司天坤煤矿</t>
  </si>
  <si>
    <t>四川省荥经县烈士乡课子村</t>
  </si>
  <si>
    <t>（川）MK安许证字〔2025〕5118222030B号</t>
  </si>
  <si>
    <t>荥经县叶家湾煤业有限责任公司叶家湾煤矿</t>
  </si>
  <si>
    <t>四川省荥经县烈士乡新立村二组</t>
  </si>
  <si>
    <t>（川）MK安许证字〔2024〕5118222029B号</t>
  </si>
  <si>
    <t>荥经县更兴煤业有限责任公司桂花树煤厂</t>
  </si>
  <si>
    <t>四川省荥经县龙苍沟镇发展村</t>
  </si>
  <si>
    <t>（川）MK安许证字〔2025〕5118221832B号</t>
  </si>
  <si>
    <t>荥经县银潮矿业有限公司齐心煤矿</t>
  </si>
  <si>
    <t>四川省荥经县花滩镇齐心村</t>
  </si>
  <si>
    <t>（川）MK安许证字〔2024〕5118220584B号</t>
  </si>
  <si>
    <t>荥经县山川煤业有限责任公司山川煤矿</t>
  </si>
  <si>
    <t>四川省荥经县花滩镇光和村</t>
  </si>
  <si>
    <t>川应急审批〔2020〕63号</t>
  </si>
  <si>
    <t>雨城区</t>
  </si>
  <si>
    <t>雅安市大树煤业有限责任公司大树煤矿</t>
  </si>
  <si>
    <t>四川省雅安市雨城区观化乡杨家村一组</t>
  </si>
  <si>
    <t>川应急审批〔2020〕65号</t>
  </si>
  <si>
    <t>荥经县红鑫煤业有限责任公司坎上煤矿</t>
  </si>
  <si>
    <t>四川省荥经县荥河乡楠木村</t>
  </si>
  <si>
    <t>川应急审批〔2022〕146号</t>
  </si>
  <si>
    <t>荥经县永晟煤业有限责任公司民兵煤厂</t>
  </si>
  <si>
    <t>四川省荥经县石桥乡米溪村</t>
  </si>
  <si>
    <t>巴中市</t>
  </si>
  <si>
    <t>南江县</t>
  </si>
  <si>
    <t>南江煤电有限责任公司南江煤矿</t>
  </si>
  <si>
    <t>四川省南江县南江镇光辉村</t>
  </si>
  <si>
    <t>（川）MK安许证字〔2025〕511922050B号</t>
  </si>
  <si>
    <t>通江县</t>
  </si>
  <si>
    <t>四川锦晟矿业有限公司杨家梁煤矿</t>
  </si>
  <si>
    <t>四川省通江县铁溪镇田坝村3社</t>
  </si>
  <si>
    <t>凉山州</t>
  </si>
  <si>
    <t>会理县</t>
  </si>
  <si>
    <t>凉山州益门煤业有限责任公司</t>
  </si>
  <si>
    <t>四川省凉山州会理县益门镇中村</t>
  </si>
  <si>
    <t>（川）MK安许证字〔2025〕5134250152A号</t>
  </si>
  <si>
    <t>甘洛县</t>
  </si>
  <si>
    <t>甘洛锦朋物业管理有限公司斯觉镇一号煤井</t>
  </si>
  <si>
    <t>四川省凉山州甘洛县斯觉镇觉呷村</t>
  </si>
  <si>
    <t>川经信煤炭函〔2011〕349号</t>
  </si>
  <si>
    <t>盐源县</t>
  </si>
  <si>
    <t>盐源西钢精煤有限责任公司干塘煤矿一井</t>
  </si>
  <si>
    <t>四川省盐源县盐塘乡庄子村</t>
  </si>
  <si>
    <t>川应急审批〔2020〕46号</t>
  </si>
  <si>
    <t>会理县白果湾乡村煤矿有限责任公司白果湾乡村煤矿</t>
  </si>
  <si>
    <t>会理市益门镇白果湾村</t>
  </si>
  <si>
    <t>川应急审批〔2021〕96号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</si>
</sst>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name val="黑体"/>
      <charset val="134"/>
    </font>
    <font>
      <b/>
      <sz val="24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Times New Roman"/>
      <charset val="134"/>
    </font>
    <font>
      <b/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77"/>
  <sheetViews>
    <sheetView tabSelected="1" workbookViewId="0">
      <selection activeCell="P199" sqref="P199"/>
    </sheetView>
  </sheetViews>
  <sheetFormatPr defaultColWidth="9" defaultRowHeight="15"/>
  <cols>
    <col min="1" max="1" width="4.88181818181818" style="1" customWidth="1"/>
    <col min="2" max="2" width="4.38181818181818" style="1" customWidth="1"/>
    <col min="3" max="4" width="7.5" style="1" customWidth="1"/>
    <col min="5" max="5" width="27.7818181818182" style="1" customWidth="1"/>
    <col min="6" max="6" width="27.5" style="1" customWidth="1"/>
    <col min="7" max="8" width="6.5" style="1" customWidth="1"/>
    <col min="9" max="9" width="9.75454545454545" style="1" customWidth="1"/>
    <col min="10" max="10" width="9.5" style="1" customWidth="1"/>
    <col min="11" max="11" width="5.88181818181818" style="1" customWidth="1"/>
    <col min="12" max="12" width="9.13636363636364" style="4" customWidth="1"/>
    <col min="13" max="13" width="4.5" style="1" customWidth="1"/>
    <col min="14" max="14" width="4.88181818181818" style="1" customWidth="1"/>
    <col min="15" max="15" width="8.88181818181818" style="1" customWidth="1"/>
    <col min="16" max="16" width="5" style="1" customWidth="1"/>
    <col min="17" max="17" width="7" style="1" customWidth="1"/>
    <col min="18" max="19" width="25.6363636363636" style="1" hidden="1" customWidth="1"/>
    <col min="20" max="20" width="38.8818181818182" style="1" hidden="1" customWidth="1"/>
    <col min="21" max="21" width="18" style="5" hidden="1" customWidth="1"/>
    <col min="22" max="22" width="18" style="1" hidden="1" customWidth="1"/>
    <col min="23" max="23" width="28.7545454545455" style="1" hidden="1" customWidth="1"/>
    <col min="24" max="26" width="10.2545454545455" style="1" hidden="1" customWidth="1"/>
    <col min="27" max="27" width="8.25454545454545" style="1" hidden="1" customWidth="1"/>
    <col min="28" max="31" width="28.7545454545455" style="1" customWidth="1"/>
    <col min="32" max="16381" width="9" style="1"/>
    <col min="16382" max="16382" width="9" style="6"/>
    <col min="16383" max="16384" width="9" style="7"/>
  </cols>
  <sheetData>
    <row r="1" ht="21" customHeight="1" spans="1:27 16382:16382">
      <c r="A1" s="8" t="s">
        <v>0</v>
      </c>
      <c r="B1" s="8"/>
      <c r="C1" s="8"/>
    </row>
    <row r="2" s="1" customFormat="1" ht="60" customHeight="1" spans="1:27 16382:1638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 t="s">
        <v>2</v>
      </c>
      <c r="U2" s="9"/>
      <c r="V2" s="9"/>
      <c r="W2" s="9"/>
      <c r="X2" s="9"/>
      <c r="Y2" s="9"/>
      <c r="Z2" s="9"/>
      <c r="AA2" s="9"/>
      <c r="XFB2" s="6"/>
    </row>
    <row r="3" s="2" customFormat="1" ht="84" spans="1:27 16382:16382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1" t="s">
        <v>13</v>
      </c>
      <c r="L3" s="12" t="s">
        <v>14</v>
      </c>
      <c r="M3" s="10" t="s">
        <v>15</v>
      </c>
      <c r="N3" s="13" t="s">
        <v>16</v>
      </c>
      <c r="O3" s="13" t="s">
        <v>17</v>
      </c>
      <c r="P3" s="12" t="s">
        <v>18</v>
      </c>
      <c r="Q3" s="14" t="s">
        <v>19</v>
      </c>
      <c r="R3" s="10" t="s">
        <v>20</v>
      </c>
      <c r="S3" s="10" t="s">
        <v>21</v>
      </c>
      <c r="T3" s="11" t="s">
        <v>22</v>
      </c>
      <c r="U3" s="15"/>
      <c r="V3" s="16" t="s">
        <v>23</v>
      </c>
      <c r="W3" s="17"/>
      <c r="X3" s="17"/>
      <c r="Y3" s="17"/>
      <c r="Z3" s="17"/>
      <c r="AA3" s="17"/>
    </row>
    <row r="4" s="3" customFormat="1" ht="28" spans="1:27 16382:16382">
      <c r="A4" s="11">
        <f>IF(H4="","",COUNTA($H$4:H4))</f>
        <v>1</v>
      </c>
      <c r="B4" s="11">
        <v>1</v>
      </c>
      <c r="C4" s="11" t="s">
        <v>24</v>
      </c>
      <c r="D4" s="11" t="s">
        <v>25</v>
      </c>
      <c r="E4" s="11" t="s">
        <v>26</v>
      </c>
      <c r="F4" s="18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11" t="s">
        <v>31</v>
      </c>
      <c r="L4" s="11" t="s">
        <v>32</v>
      </c>
      <c r="M4" s="19" t="s">
        <v>33</v>
      </c>
      <c r="N4" s="11" t="s">
        <v>34</v>
      </c>
      <c r="O4" s="19" t="s">
        <v>35</v>
      </c>
      <c r="P4" s="11" t="s">
        <v>36</v>
      </c>
      <c r="Q4" s="20">
        <v>30</v>
      </c>
      <c r="R4" s="21" t="s">
        <v>37</v>
      </c>
      <c r="S4" s="21" t="s">
        <v>38</v>
      </c>
      <c r="T4" s="22" t="s">
        <v>39</v>
      </c>
      <c r="U4" s="15">
        <v>46094</v>
      </c>
      <c r="V4" s="22"/>
      <c r="W4" s="22"/>
      <c r="X4" s="22"/>
      <c r="Y4" s="22"/>
      <c r="Z4" s="22"/>
      <c r="AA4" s="22"/>
    </row>
    <row r="5" s="3" customFormat="1" ht="28" spans="1:27 16382:16382">
      <c r="A5" s="11">
        <f>IF(H5="","",COUNTA($H$4:H5))</f>
        <v>2</v>
      </c>
      <c r="B5" s="11">
        <f t="shared" ref="B5:B68" si="0">IF(C5=C4,B4+1,1)</f>
        <v>2</v>
      </c>
      <c r="C5" s="11" t="s">
        <v>24</v>
      </c>
      <c r="D5" s="11" t="s">
        <v>25</v>
      </c>
      <c r="E5" s="11" t="s">
        <v>40</v>
      </c>
      <c r="F5" s="18" t="s">
        <v>40</v>
      </c>
      <c r="G5" s="11" t="s">
        <v>27</v>
      </c>
      <c r="H5" s="11" t="s">
        <v>28</v>
      </c>
      <c r="I5" s="11" t="s">
        <v>29</v>
      </c>
      <c r="J5" s="11" t="s">
        <v>30</v>
      </c>
      <c r="K5" s="11" t="s">
        <v>31</v>
      </c>
      <c r="L5" s="11" t="s">
        <v>32</v>
      </c>
      <c r="M5" s="19" t="s">
        <v>33</v>
      </c>
      <c r="N5" s="11" t="s">
        <v>34</v>
      </c>
      <c r="O5" s="19" t="s">
        <v>35</v>
      </c>
      <c r="P5" s="11" t="s">
        <v>36</v>
      </c>
      <c r="Q5" s="20">
        <v>30</v>
      </c>
      <c r="R5" s="21" t="s">
        <v>41</v>
      </c>
      <c r="S5" s="21" t="s">
        <v>38</v>
      </c>
      <c r="T5" s="22" t="s">
        <v>42</v>
      </c>
      <c r="U5" s="15">
        <v>46681</v>
      </c>
      <c r="V5" s="22"/>
      <c r="W5" s="22"/>
      <c r="X5" s="22"/>
      <c r="Y5" s="22"/>
      <c r="Z5" s="22"/>
      <c r="AA5" s="22"/>
    </row>
    <row r="6" s="3" customFormat="1" ht="28" spans="1:27 16382:16382">
      <c r="A6" s="11">
        <f>IF(H6="","",COUNTA($H$4:H6))</f>
        <v>3</v>
      </c>
      <c r="B6" s="11">
        <f t="shared" si="0"/>
        <v>3</v>
      </c>
      <c r="C6" s="11" t="s">
        <v>24</v>
      </c>
      <c r="D6" s="11" t="s">
        <v>25</v>
      </c>
      <c r="E6" s="11" t="s">
        <v>43</v>
      </c>
      <c r="F6" s="18" t="s">
        <v>43</v>
      </c>
      <c r="G6" s="11" t="s">
        <v>27</v>
      </c>
      <c r="H6" s="11" t="s">
        <v>28</v>
      </c>
      <c r="I6" s="11" t="s">
        <v>29</v>
      </c>
      <c r="J6" s="11" t="s">
        <v>30</v>
      </c>
      <c r="K6" s="11" t="s">
        <v>44</v>
      </c>
      <c r="L6" s="11" t="s">
        <v>32</v>
      </c>
      <c r="M6" s="19" t="s">
        <v>33</v>
      </c>
      <c r="N6" s="11" t="s">
        <v>34</v>
      </c>
      <c r="O6" s="19" t="s">
        <v>35</v>
      </c>
      <c r="P6" s="11" t="s">
        <v>36</v>
      </c>
      <c r="Q6" s="20">
        <v>15</v>
      </c>
      <c r="R6" s="21" t="s">
        <v>45</v>
      </c>
      <c r="S6" s="21" t="s">
        <v>38</v>
      </c>
      <c r="T6" s="22" t="s">
        <v>46</v>
      </c>
      <c r="U6" s="15">
        <v>46689</v>
      </c>
      <c r="V6" s="22"/>
      <c r="W6" s="22"/>
      <c r="X6" s="22"/>
      <c r="Y6" s="22"/>
      <c r="Z6" s="22"/>
      <c r="AA6" s="22"/>
    </row>
    <row r="7" s="3" customFormat="1" ht="28" spans="1:27 16382:16382">
      <c r="A7" s="11">
        <f>IF(H7="","",COUNTA($H$4:H7))</f>
        <v>4</v>
      </c>
      <c r="B7" s="11">
        <f t="shared" si="0"/>
        <v>4</v>
      </c>
      <c r="C7" s="11" t="s">
        <v>24</v>
      </c>
      <c r="D7" s="11" t="s">
        <v>25</v>
      </c>
      <c r="E7" s="11" t="s">
        <v>47</v>
      </c>
      <c r="F7" s="18" t="s">
        <v>47</v>
      </c>
      <c r="G7" s="11" t="s">
        <v>27</v>
      </c>
      <c r="H7" s="11" t="s">
        <v>28</v>
      </c>
      <c r="I7" s="11" t="s">
        <v>29</v>
      </c>
      <c r="J7" s="11" t="s">
        <v>30</v>
      </c>
      <c r="K7" s="11" t="s">
        <v>44</v>
      </c>
      <c r="L7" s="11" t="s">
        <v>32</v>
      </c>
      <c r="M7" s="19" t="s">
        <v>33</v>
      </c>
      <c r="N7" s="11" t="s">
        <v>34</v>
      </c>
      <c r="O7" s="19" t="s">
        <v>48</v>
      </c>
      <c r="P7" s="11" t="s">
        <v>36</v>
      </c>
      <c r="Q7" s="20">
        <v>15</v>
      </c>
      <c r="R7" s="21" t="s">
        <v>49</v>
      </c>
      <c r="S7" s="21" t="s">
        <v>38</v>
      </c>
      <c r="T7" s="22" t="s">
        <v>50</v>
      </c>
      <c r="U7" s="15">
        <v>46660</v>
      </c>
      <c r="V7" s="22"/>
      <c r="W7" s="22"/>
      <c r="X7" s="22"/>
      <c r="Y7" s="22"/>
      <c r="Z7" s="22"/>
      <c r="AA7" s="22"/>
    </row>
    <row r="8" s="3" customFormat="1" ht="28" spans="1:27 16382:16382">
      <c r="A8" s="11">
        <f>IF(H8="","",COUNTA($H$4:H8))</f>
        <v>5</v>
      </c>
      <c r="B8" s="11">
        <f t="shared" si="0"/>
        <v>5</v>
      </c>
      <c r="C8" s="11" t="s">
        <v>24</v>
      </c>
      <c r="D8" s="11" t="s">
        <v>25</v>
      </c>
      <c r="E8" s="11" t="s">
        <v>51</v>
      </c>
      <c r="F8" s="18" t="s">
        <v>51</v>
      </c>
      <c r="G8" s="11" t="s">
        <v>27</v>
      </c>
      <c r="H8" s="11" t="s">
        <v>28</v>
      </c>
      <c r="I8" s="11" t="s">
        <v>29</v>
      </c>
      <c r="J8" s="11" t="s">
        <v>52</v>
      </c>
      <c r="K8" s="11" t="s">
        <v>53</v>
      </c>
      <c r="L8" s="11" t="s">
        <v>54</v>
      </c>
      <c r="M8" s="19" t="s">
        <v>33</v>
      </c>
      <c r="N8" s="11" t="s">
        <v>34</v>
      </c>
      <c r="O8" s="19" t="s">
        <v>35</v>
      </c>
      <c r="P8" s="11" t="s">
        <v>36</v>
      </c>
      <c r="Q8" s="20">
        <v>15</v>
      </c>
      <c r="R8" s="21" t="s">
        <v>55</v>
      </c>
      <c r="S8" s="21" t="s">
        <v>56</v>
      </c>
      <c r="T8" s="22"/>
      <c r="U8" s="15"/>
      <c r="V8" s="22"/>
      <c r="W8" s="22"/>
      <c r="X8" s="22"/>
      <c r="Y8" s="22"/>
      <c r="Z8" s="22"/>
      <c r="AA8" s="22"/>
    </row>
    <row r="9" s="3" customFormat="1" ht="28" spans="1:27 16382:16382">
      <c r="A9" s="11">
        <f>IF(H9="","",COUNTA($H$4:H9))</f>
        <v>6</v>
      </c>
      <c r="B9" s="11">
        <f t="shared" si="0"/>
        <v>6</v>
      </c>
      <c r="C9" s="11" t="s">
        <v>24</v>
      </c>
      <c r="D9" s="11" t="s">
        <v>25</v>
      </c>
      <c r="E9" s="11" t="s">
        <v>57</v>
      </c>
      <c r="F9" s="18" t="s">
        <v>57</v>
      </c>
      <c r="G9" s="11" t="s">
        <v>27</v>
      </c>
      <c r="H9" s="11" t="s">
        <v>58</v>
      </c>
      <c r="I9" s="11" t="s">
        <v>29</v>
      </c>
      <c r="J9" s="11" t="s">
        <v>30</v>
      </c>
      <c r="K9" s="11" t="s">
        <v>53</v>
      </c>
      <c r="L9" s="11" t="s">
        <v>54</v>
      </c>
      <c r="M9" s="19" t="s">
        <v>33</v>
      </c>
      <c r="N9" s="11" t="s">
        <v>34</v>
      </c>
      <c r="O9" s="19" t="s">
        <v>35</v>
      </c>
      <c r="P9" s="11" t="s">
        <v>36</v>
      </c>
      <c r="Q9" s="20">
        <v>9</v>
      </c>
      <c r="R9" s="21" t="s">
        <v>59</v>
      </c>
      <c r="S9" s="21" t="s">
        <v>60</v>
      </c>
      <c r="T9" s="22"/>
      <c r="U9" s="15"/>
      <c r="V9" s="22"/>
      <c r="W9" s="22"/>
      <c r="X9" s="22"/>
      <c r="Y9" s="22"/>
      <c r="Z9" s="22"/>
      <c r="AA9" s="22"/>
    </row>
    <row r="10" s="3" customFormat="1" ht="28" spans="1:27 16382:16382">
      <c r="A10" s="11">
        <f>IF(H10="","",COUNTA($H$4:H10))</f>
        <v>7</v>
      </c>
      <c r="B10" s="11">
        <f t="shared" si="0"/>
        <v>7</v>
      </c>
      <c r="C10" s="11" t="s">
        <v>24</v>
      </c>
      <c r="D10" s="11" t="s">
        <v>25</v>
      </c>
      <c r="E10" s="11" t="s">
        <v>61</v>
      </c>
      <c r="F10" s="18" t="s">
        <v>61</v>
      </c>
      <c r="G10" s="11" t="s">
        <v>27</v>
      </c>
      <c r="H10" s="11" t="s">
        <v>58</v>
      </c>
      <c r="I10" s="11" t="s">
        <v>29</v>
      </c>
      <c r="J10" s="11" t="s">
        <v>52</v>
      </c>
      <c r="K10" s="11" t="s">
        <v>53</v>
      </c>
      <c r="L10" s="11" t="s">
        <v>54</v>
      </c>
      <c r="M10" s="19" t="s">
        <v>33</v>
      </c>
      <c r="N10" s="11" t="s">
        <v>34</v>
      </c>
      <c r="O10" s="19" t="s">
        <v>35</v>
      </c>
      <c r="P10" s="11" t="s">
        <v>36</v>
      </c>
      <c r="Q10" s="20">
        <v>9</v>
      </c>
      <c r="R10" s="21" t="s">
        <v>62</v>
      </c>
      <c r="S10" s="21" t="s">
        <v>63</v>
      </c>
      <c r="T10" s="22"/>
      <c r="U10" s="15"/>
      <c r="V10" s="22"/>
      <c r="W10" s="22"/>
      <c r="X10" s="22"/>
      <c r="Y10" s="22"/>
      <c r="Z10" s="22"/>
      <c r="AA10" s="22"/>
    </row>
    <row r="11" s="3" customFormat="1" ht="28" spans="1:27 16382:16382">
      <c r="A11" s="11">
        <f>IF(H11="","",COUNTA($H$4:H11))</f>
        <v>8</v>
      </c>
      <c r="B11" s="11">
        <f t="shared" si="0"/>
        <v>1</v>
      </c>
      <c r="C11" s="11" t="s">
        <v>64</v>
      </c>
      <c r="D11" s="11" t="s">
        <v>65</v>
      </c>
      <c r="E11" s="11" t="s">
        <v>66</v>
      </c>
      <c r="F11" s="23" t="s">
        <v>66</v>
      </c>
      <c r="G11" s="11" t="s">
        <v>67</v>
      </c>
      <c r="H11" s="11" t="s">
        <v>28</v>
      </c>
      <c r="I11" s="11" t="s">
        <v>29</v>
      </c>
      <c r="J11" s="11" t="s">
        <v>68</v>
      </c>
      <c r="K11" s="11" t="s">
        <v>31</v>
      </c>
      <c r="L11" s="11" t="s">
        <v>32</v>
      </c>
      <c r="M11" s="19" t="s">
        <v>33</v>
      </c>
      <c r="N11" s="11" t="s">
        <v>69</v>
      </c>
      <c r="O11" s="19" t="s">
        <v>35</v>
      </c>
      <c r="P11" s="11" t="s">
        <v>70</v>
      </c>
      <c r="Q11" s="20">
        <v>180</v>
      </c>
      <c r="R11" s="21" t="s">
        <v>71</v>
      </c>
      <c r="S11" s="21" t="s">
        <v>38</v>
      </c>
      <c r="T11" s="22" t="s">
        <v>72</v>
      </c>
      <c r="U11" s="15">
        <v>46979</v>
      </c>
      <c r="V11" s="22"/>
      <c r="W11" s="22"/>
      <c r="X11" s="22"/>
      <c r="Y11" s="22"/>
      <c r="Z11" s="22"/>
      <c r="AA11" s="22"/>
    </row>
    <row r="12" s="3" customFormat="1" ht="28" spans="1:27 16382:16382">
      <c r="A12" s="11">
        <f>IF(H12="","",COUNTA($H$4:H12))</f>
        <v>9</v>
      </c>
      <c r="B12" s="11">
        <f t="shared" si="0"/>
        <v>2</v>
      </c>
      <c r="C12" s="11" t="s">
        <v>64</v>
      </c>
      <c r="D12" s="11" t="s">
        <v>65</v>
      </c>
      <c r="E12" s="11" t="s">
        <v>73</v>
      </c>
      <c r="F12" s="23" t="s">
        <v>73</v>
      </c>
      <c r="G12" s="11" t="s">
        <v>67</v>
      </c>
      <c r="H12" s="11" t="s">
        <v>28</v>
      </c>
      <c r="I12" s="24" t="s">
        <v>74</v>
      </c>
      <c r="J12" s="11" t="s">
        <v>68</v>
      </c>
      <c r="K12" s="11" t="s">
        <v>31</v>
      </c>
      <c r="L12" s="11" t="s">
        <v>32</v>
      </c>
      <c r="M12" s="19" t="s">
        <v>33</v>
      </c>
      <c r="N12" s="11" t="s">
        <v>34</v>
      </c>
      <c r="O12" s="19" t="s">
        <v>35</v>
      </c>
      <c r="P12" s="11" t="s">
        <v>70</v>
      </c>
      <c r="Q12" s="20">
        <v>135</v>
      </c>
      <c r="R12" s="21" t="s">
        <v>75</v>
      </c>
      <c r="S12" s="21" t="s">
        <v>38</v>
      </c>
      <c r="T12" s="22" t="s">
        <v>76</v>
      </c>
      <c r="U12" s="15">
        <v>46752</v>
      </c>
      <c r="V12" s="22"/>
      <c r="W12" s="22"/>
      <c r="X12" s="22"/>
      <c r="Y12" s="22"/>
      <c r="Z12" s="22"/>
      <c r="AA12" s="22"/>
    </row>
    <row r="13" s="3" customFormat="1" ht="28" spans="1:27 16382:16382">
      <c r="A13" s="11">
        <f>IF(H13="","",COUNTA($H$4:H13))</f>
        <v>10</v>
      </c>
      <c r="B13" s="11">
        <f t="shared" si="0"/>
        <v>3</v>
      </c>
      <c r="C13" s="11" t="s">
        <v>64</v>
      </c>
      <c r="D13" s="11" t="s">
        <v>65</v>
      </c>
      <c r="E13" s="11" t="s">
        <v>77</v>
      </c>
      <c r="F13" s="23" t="s">
        <v>77</v>
      </c>
      <c r="G13" s="11" t="s">
        <v>67</v>
      </c>
      <c r="H13" s="11" t="s">
        <v>28</v>
      </c>
      <c r="I13" s="24" t="s">
        <v>74</v>
      </c>
      <c r="J13" s="11" t="s">
        <v>68</v>
      </c>
      <c r="K13" s="24" t="s">
        <v>78</v>
      </c>
      <c r="L13" s="11" t="s">
        <v>32</v>
      </c>
      <c r="M13" s="19" t="s">
        <v>33</v>
      </c>
      <c r="N13" s="11" t="s">
        <v>34</v>
      </c>
      <c r="O13" s="19" t="s">
        <v>35</v>
      </c>
      <c r="P13" s="11" t="s">
        <v>70</v>
      </c>
      <c r="Q13" s="20">
        <v>120</v>
      </c>
      <c r="R13" s="21" t="s">
        <v>79</v>
      </c>
      <c r="S13" s="21" t="s">
        <v>38</v>
      </c>
      <c r="T13" s="22" t="s">
        <v>80</v>
      </c>
      <c r="U13" s="15">
        <v>47006</v>
      </c>
      <c r="V13" s="22"/>
      <c r="W13" s="22"/>
      <c r="X13" s="22"/>
      <c r="Y13" s="22"/>
      <c r="Z13" s="22"/>
      <c r="AA13" s="22"/>
    </row>
    <row r="14" s="3" customFormat="1" ht="28" spans="1:27 16382:16382">
      <c r="A14" s="11">
        <f>IF(H14="","",COUNTA($H$4:H14))</f>
        <v>11</v>
      </c>
      <c r="B14" s="11">
        <f t="shared" si="0"/>
        <v>4</v>
      </c>
      <c r="C14" s="11" t="s">
        <v>64</v>
      </c>
      <c r="D14" s="11" t="s">
        <v>65</v>
      </c>
      <c r="E14" s="11" t="s">
        <v>81</v>
      </c>
      <c r="F14" s="23" t="s">
        <v>81</v>
      </c>
      <c r="G14" s="11" t="s">
        <v>67</v>
      </c>
      <c r="H14" s="11" t="s">
        <v>28</v>
      </c>
      <c r="I14" s="24" t="s">
        <v>74</v>
      </c>
      <c r="J14" s="11" t="s">
        <v>30</v>
      </c>
      <c r="K14" s="11" t="s">
        <v>31</v>
      </c>
      <c r="L14" s="11" t="s">
        <v>32</v>
      </c>
      <c r="M14" s="19" t="s">
        <v>33</v>
      </c>
      <c r="N14" s="11" t="s">
        <v>34</v>
      </c>
      <c r="O14" s="19" t="s">
        <v>35</v>
      </c>
      <c r="P14" s="11" t="s">
        <v>70</v>
      </c>
      <c r="Q14" s="20">
        <v>72</v>
      </c>
      <c r="R14" s="21" t="s">
        <v>79</v>
      </c>
      <c r="S14" s="21" t="s">
        <v>38</v>
      </c>
      <c r="T14" s="22" t="s">
        <v>82</v>
      </c>
      <c r="U14" s="15">
        <v>46340</v>
      </c>
      <c r="V14" s="22"/>
      <c r="W14" s="22"/>
      <c r="X14" s="22"/>
      <c r="Y14" s="22"/>
      <c r="Z14" s="22"/>
      <c r="AA14" s="22"/>
    </row>
    <row r="15" s="3" customFormat="1" ht="28" spans="1:27 16382:16382">
      <c r="A15" s="11">
        <f>IF(H15="","",COUNTA($H$4:H15))</f>
        <v>12</v>
      </c>
      <c r="B15" s="11">
        <f t="shared" si="0"/>
        <v>5</v>
      </c>
      <c r="C15" s="11" t="s">
        <v>64</v>
      </c>
      <c r="D15" s="11" t="s">
        <v>83</v>
      </c>
      <c r="E15" s="11" t="s">
        <v>84</v>
      </c>
      <c r="F15" s="18" t="s">
        <v>84</v>
      </c>
      <c r="G15" s="11" t="s">
        <v>27</v>
      </c>
      <c r="H15" s="11" t="s">
        <v>28</v>
      </c>
      <c r="I15" s="11" t="s">
        <v>29</v>
      </c>
      <c r="J15" s="11" t="s">
        <v>85</v>
      </c>
      <c r="K15" s="11" t="s">
        <v>31</v>
      </c>
      <c r="L15" s="11" t="s">
        <v>54</v>
      </c>
      <c r="M15" s="19" t="s">
        <v>33</v>
      </c>
      <c r="N15" s="11" t="s">
        <v>34</v>
      </c>
      <c r="O15" s="19" t="s">
        <v>35</v>
      </c>
      <c r="P15" s="11" t="s">
        <v>70</v>
      </c>
      <c r="Q15" s="20">
        <v>30</v>
      </c>
      <c r="R15" s="21" t="s">
        <v>86</v>
      </c>
      <c r="S15" s="21" t="s">
        <v>38</v>
      </c>
      <c r="T15" s="25" t="s">
        <v>87</v>
      </c>
      <c r="U15" s="26">
        <v>47135</v>
      </c>
      <c r="V15" s="22"/>
      <c r="W15" s="22"/>
      <c r="X15" s="22"/>
      <c r="Y15" s="22"/>
      <c r="Z15" s="22"/>
      <c r="AA15" s="22"/>
    </row>
    <row r="16" s="3" customFormat="1" ht="28" spans="1:27 16382:16382">
      <c r="A16" s="11">
        <f>IF(H16="","",COUNTA($H$4:H16))</f>
        <v>13</v>
      </c>
      <c r="B16" s="11">
        <f t="shared" si="0"/>
        <v>6</v>
      </c>
      <c r="C16" s="11" t="s">
        <v>64</v>
      </c>
      <c r="D16" s="11" t="s">
        <v>83</v>
      </c>
      <c r="E16" s="11" t="s">
        <v>88</v>
      </c>
      <c r="F16" s="18" t="s">
        <v>88</v>
      </c>
      <c r="G16" s="11" t="s">
        <v>27</v>
      </c>
      <c r="H16" s="11" t="s">
        <v>28</v>
      </c>
      <c r="I16" s="11" t="s">
        <v>89</v>
      </c>
      <c r="J16" s="11" t="s">
        <v>90</v>
      </c>
      <c r="K16" s="11" t="s">
        <v>53</v>
      </c>
      <c r="L16" s="11" t="s">
        <v>54</v>
      </c>
      <c r="M16" s="19" t="s">
        <v>33</v>
      </c>
      <c r="N16" s="11" t="s">
        <v>34</v>
      </c>
      <c r="O16" s="19" t="s">
        <v>35</v>
      </c>
      <c r="P16" s="11" t="s">
        <v>70</v>
      </c>
      <c r="Q16" s="20">
        <v>15</v>
      </c>
      <c r="R16" s="21" t="s">
        <v>91</v>
      </c>
      <c r="S16" s="21" t="s">
        <v>56</v>
      </c>
      <c r="T16" s="22"/>
      <c r="U16" s="15"/>
      <c r="V16" s="22"/>
      <c r="W16" s="22"/>
      <c r="X16" s="22"/>
      <c r="Y16" s="22"/>
      <c r="Z16" s="22"/>
      <c r="AA16" s="22"/>
    </row>
    <row r="17" s="3" customFormat="1" ht="28" spans="1:27">
      <c r="A17" s="11">
        <f>IF(H17="","",COUNTA($H$4:H17))</f>
        <v>14</v>
      </c>
      <c r="B17" s="11">
        <f t="shared" si="0"/>
        <v>7</v>
      </c>
      <c r="C17" s="11" t="s">
        <v>64</v>
      </c>
      <c r="D17" s="11" t="s">
        <v>92</v>
      </c>
      <c r="E17" s="11" t="s">
        <v>93</v>
      </c>
      <c r="F17" s="18" t="s">
        <v>93</v>
      </c>
      <c r="G17" s="11" t="s">
        <v>27</v>
      </c>
      <c r="H17" s="11" t="s">
        <v>28</v>
      </c>
      <c r="I17" s="11" t="s">
        <v>89</v>
      </c>
      <c r="J17" s="11" t="s">
        <v>85</v>
      </c>
      <c r="K17" s="11" t="s">
        <v>31</v>
      </c>
      <c r="L17" s="11" t="s">
        <v>54</v>
      </c>
      <c r="M17" s="19" t="s">
        <v>33</v>
      </c>
      <c r="N17" s="11" t="s">
        <v>34</v>
      </c>
      <c r="O17" s="19" t="s">
        <v>35</v>
      </c>
      <c r="P17" s="11" t="s">
        <v>70</v>
      </c>
      <c r="Q17" s="20">
        <v>15</v>
      </c>
      <c r="R17" s="21" t="s">
        <v>94</v>
      </c>
      <c r="S17" s="21" t="s">
        <v>38</v>
      </c>
      <c r="T17" s="22" t="s">
        <v>95</v>
      </c>
      <c r="U17" s="15">
        <v>46603</v>
      </c>
      <c r="V17" s="22"/>
      <c r="W17" s="22"/>
      <c r="X17" s="22"/>
      <c r="Y17" s="22"/>
      <c r="Z17" s="22"/>
      <c r="AA17" s="22"/>
    </row>
    <row r="18" s="3" customFormat="1" ht="28" spans="1:27">
      <c r="A18" s="11">
        <f>IF(H18="","",COUNTA($H$4:H18))</f>
        <v>15</v>
      </c>
      <c r="B18" s="11">
        <f t="shared" si="0"/>
        <v>8</v>
      </c>
      <c r="C18" s="11" t="s">
        <v>64</v>
      </c>
      <c r="D18" s="11" t="s">
        <v>92</v>
      </c>
      <c r="E18" s="11" t="s">
        <v>96</v>
      </c>
      <c r="F18" s="18" t="s">
        <v>96</v>
      </c>
      <c r="G18" s="11" t="s">
        <v>27</v>
      </c>
      <c r="H18" s="11" t="s">
        <v>58</v>
      </c>
      <c r="I18" s="11" t="s">
        <v>89</v>
      </c>
      <c r="J18" s="11" t="s">
        <v>85</v>
      </c>
      <c r="K18" s="11" t="s">
        <v>53</v>
      </c>
      <c r="L18" s="11" t="s">
        <v>54</v>
      </c>
      <c r="M18" s="19" t="s">
        <v>33</v>
      </c>
      <c r="N18" s="11" t="s">
        <v>69</v>
      </c>
      <c r="O18" s="19" t="s">
        <v>35</v>
      </c>
      <c r="P18" s="11" t="s">
        <v>70</v>
      </c>
      <c r="Q18" s="20">
        <v>30</v>
      </c>
      <c r="R18" s="21" t="s">
        <v>97</v>
      </c>
      <c r="S18" s="21" t="s">
        <v>98</v>
      </c>
      <c r="T18" s="22"/>
      <c r="U18" s="15"/>
      <c r="V18" s="22" t="s">
        <v>99</v>
      </c>
      <c r="W18" s="22" t="s">
        <v>100</v>
      </c>
      <c r="X18" s="22">
        <v>30</v>
      </c>
      <c r="Y18" s="22">
        <v>24</v>
      </c>
      <c r="Z18" s="22" t="s">
        <v>101</v>
      </c>
      <c r="AA18" s="22"/>
    </row>
    <row r="19" s="3" customFormat="1" ht="28" spans="1:27">
      <c r="A19" s="11">
        <f>IF(H19="","",COUNTA($H$4:H19))</f>
        <v>16</v>
      </c>
      <c r="B19" s="11">
        <f t="shared" si="0"/>
        <v>9</v>
      </c>
      <c r="C19" s="11" t="s">
        <v>64</v>
      </c>
      <c r="D19" s="11" t="s">
        <v>92</v>
      </c>
      <c r="E19" s="11" t="s">
        <v>102</v>
      </c>
      <c r="F19" s="18" t="s">
        <v>102</v>
      </c>
      <c r="G19" s="11" t="s">
        <v>27</v>
      </c>
      <c r="H19" s="11" t="s">
        <v>28</v>
      </c>
      <c r="I19" s="11" t="s">
        <v>89</v>
      </c>
      <c r="J19" s="11" t="s">
        <v>85</v>
      </c>
      <c r="K19" s="11" t="s">
        <v>31</v>
      </c>
      <c r="L19" s="11" t="s">
        <v>54</v>
      </c>
      <c r="M19" s="19" t="s">
        <v>33</v>
      </c>
      <c r="N19" s="11" t="s">
        <v>34</v>
      </c>
      <c r="O19" s="19" t="s">
        <v>35</v>
      </c>
      <c r="P19" s="11" t="s">
        <v>36</v>
      </c>
      <c r="Q19" s="20">
        <v>15</v>
      </c>
      <c r="R19" s="21" t="s">
        <v>103</v>
      </c>
      <c r="S19" s="21" t="s">
        <v>38</v>
      </c>
      <c r="T19" s="22" t="s">
        <v>104</v>
      </c>
      <c r="U19" s="15">
        <v>46752</v>
      </c>
      <c r="V19" s="22"/>
      <c r="W19" s="22"/>
      <c r="X19" s="22"/>
      <c r="Y19" s="22"/>
      <c r="Z19" s="22"/>
      <c r="AA19" s="22"/>
    </row>
    <row r="20" s="3" customFormat="1" ht="28" spans="1:27">
      <c r="A20" s="11">
        <f>IF(H20="","",COUNTA($H$4:H20))</f>
        <v>17</v>
      </c>
      <c r="B20" s="11">
        <f t="shared" si="0"/>
        <v>10</v>
      </c>
      <c r="C20" s="11" t="s">
        <v>64</v>
      </c>
      <c r="D20" s="11" t="s">
        <v>83</v>
      </c>
      <c r="E20" s="11" t="s">
        <v>105</v>
      </c>
      <c r="F20" s="18" t="s">
        <v>105</v>
      </c>
      <c r="G20" s="11" t="s">
        <v>27</v>
      </c>
      <c r="H20" s="11" t="s">
        <v>58</v>
      </c>
      <c r="I20" s="11" t="s">
        <v>29</v>
      </c>
      <c r="J20" s="11" t="s">
        <v>30</v>
      </c>
      <c r="K20" s="11" t="s">
        <v>53</v>
      </c>
      <c r="L20" s="11" t="s">
        <v>54</v>
      </c>
      <c r="M20" s="19" t="s">
        <v>33</v>
      </c>
      <c r="N20" s="11" t="s">
        <v>34</v>
      </c>
      <c r="O20" s="19" t="s">
        <v>48</v>
      </c>
      <c r="P20" s="11" t="s">
        <v>70</v>
      </c>
      <c r="Q20" s="20">
        <v>30</v>
      </c>
      <c r="R20" s="21" t="s">
        <v>106</v>
      </c>
      <c r="S20" s="21" t="s">
        <v>107</v>
      </c>
      <c r="T20" s="22"/>
      <c r="U20" s="15"/>
      <c r="V20" s="22"/>
      <c r="W20" s="22"/>
      <c r="X20" s="22"/>
      <c r="Y20" s="22"/>
      <c r="Z20" s="22"/>
      <c r="AA20" s="22"/>
    </row>
    <row r="21" s="3" customFormat="1" ht="28" spans="1:27">
      <c r="A21" s="11">
        <f>IF(H21="","",COUNTA($H$4:H21))</f>
        <v>18</v>
      </c>
      <c r="B21" s="11">
        <f t="shared" si="0"/>
        <v>11</v>
      </c>
      <c r="C21" s="11" t="s">
        <v>64</v>
      </c>
      <c r="D21" s="11" t="s">
        <v>92</v>
      </c>
      <c r="E21" s="11" t="s">
        <v>108</v>
      </c>
      <c r="F21" s="18" t="s">
        <v>108</v>
      </c>
      <c r="G21" s="24" t="s">
        <v>109</v>
      </c>
      <c r="H21" s="11" t="s">
        <v>58</v>
      </c>
      <c r="I21" s="11" t="s">
        <v>110</v>
      </c>
      <c r="J21" s="11" t="s">
        <v>30</v>
      </c>
      <c r="K21" s="11" t="s">
        <v>53</v>
      </c>
      <c r="L21" s="11" t="s">
        <v>32</v>
      </c>
      <c r="M21" s="19" t="s">
        <v>33</v>
      </c>
      <c r="N21" s="11" t="s">
        <v>34</v>
      </c>
      <c r="O21" s="19" t="s">
        <v>35</v>
      </c>
      <c r="P21" s="11" t="s">
        <v>36</v>
      </c>
      <c r="Q21" s="20">
        <v>30</v>
      </c>
      <c r="R21" s="21" t="s">
        <v>111</v>
      </c>
      <c r="S21" s="21" t="s">
        <v>98</v>
      </c>
      <c r="T21" s="22"/>
      <c r="U21" s="15"/>
      <c r="V21" s="22" t="s">
        <v>99</v>
      </c>
      <c r="W21" s="22" t="s">
        <v>112</v>
      </c>
      <c r="X21" s="22">
        <v>30</v>
      </c>
      <c r="Y21" s="22">
        <v>15</v>
      </c>
      <c r="Z21" s="22" t="s">
        <v>101</v>
      </c>
      <c r="AA21" s="22"/>
    </row>
    <row r="22" s="3" customFormat="1" ht="28" spans="1:27">
      <c r="A22" s="11">
        <f>IF(H22="","",COUNTA($H$4:H22))</f>
        <v>19</v>
      </c>
      <c r="B22" s="11">
        <f t="shared" si="0"/>
        <v>12</v>
      </c>
      <c r="C22" s="11" t="s">
        <v>64</v>
      </c>
      <c r="D22" s="11" t="s">
        <v>92</v>
      </c>
      <c r="E22" s="11" t="s">
        <v>113</v>
      </c>
      <c r="F22" s="18" t="s">
        <v>113</v>
      </c>
      <c r="G22" s="11" t="s">
        <v>27</v>
      </c>
      <c r="H22" s="11" t="s">
        <v>58</v>
      </c>
      <c r="I22" s="11" t="s">
        <v>89</v>
      </c>
      <c r="J22" s="11" t="s">
        <v>30</v>
      </c>
      <c r="K22" s="11" t="s">
        <v>53</v>
      </c>
      <c r="L22" s="11" t="s">
        <v>32</v>
      </c>
      <c r="M22" s="19" t="s">
        <v>33</v>
      </c>
      <c r="N22" s="11" t="s">
        <v>34</v>
      </c>
      <c r="O22" s="19" t="s">
        <v>35</v>
      </c>
      <c r="P22" s="11" t="s">
        <v>36</v>
      </c>
      <c r="Q22" s="20">
        <v>30</v>
      </c>
      <c r="R22" s="21" t="s">
        <v>114</v>
      </c>
      <c r="S22" s="21" t="s">
        <v>107</v>
      </c>
      <c r="T22" s="22"/>
      <c r="U22" s="15"/>
      <c r="V22" s="22"/>
      <c r="W22" s="22"/>
      <c r="X22" s="22"/>
      <c r="Y22" s="22"/>
      <c r="Z22" s="22"/>
      <c r="AA22" s="22"/>
    </row>
    <row r="23" s="3" customFormat="1" ht="28" spans="1:27">
      <c r="A23" s="11">
        <f>IF(H23="","",COUNTA($H$4:H23))</f>
        <v>20</v>
      </c>
      <c r="B23" s="11">
        <f t="shared" si="0"/>
        <v>13</v>
      </c>
      <c r="C23" s="11" t="s">
        <v>64</v>
      </c>
      <c r="D23" s="11" t="s">
        <v>83</v>
      </c>
      <c r="E23" s="11" t="s">
        <v>115</v>
      </c>
      <c r="F23" s="18" t="s">
        <v>115</v>
      </c>
      <c r="G23" s="11" t="s">
        <v>27</v>
      </c>
      <c r="H23" s="11" t="s">
        <v>58</v>
      </c>
      <c r="I23" s="11" t="s">
        <v>89</v>
      </c>
      <c r="J23" s="11" t="s">
        <v>30</v>
      </c>
      <c r="K23" s="11" t="s">
        <v>53</v>
      </c>
      <c r="L23" s="11" t="s">
        <v>32</v>
      </c>
      <c r="M23" s="19" t="s">
        <v>33</v>
      </c>
      <c r="N23" s="11" t="s">
        <v>34</v>
      </c>
      <c r="O23" s="19" t="s">
        <v>35</v>
      </c>
      <c r="P23" s="11" t="s">
        <v>36</v>
      </c>
      <c r="Q23" s="20">
        <v>30</v>
      </c>
      <c r="R23" s="21" t="s">
        <v>116</v>
      </c>
      <c r="S23" s="21" t="s">
        <v>98</v>
      </c>
      <c r="T23" s="22"/>
      <c r="U23" s="15"/>
      <c r="V23" s="22" t="s">
        <v>99</v>
      </c>
      <c r="W23" s="22" t="s">
        <v>117</v>
      </c>
      <c r="X23" s="22">
        <v>30</v>
      </c>
      <c r="Y23" s="22">
        <v>21</v>
      </c>
      <c r="Z23" s="22" t="s">
        <v>118</v>
      </c>
      <c r="AA23" s="22"/>
    </row>
    <row r="24" s="3" customFormat="1" ht="28" spans="1:27">
      <c r="A24" s="11">
        <f>IF(H24="","",COUNTA($H$4:H24))</f>
        <v>21</v>
      </c>
      <c r="B24" s="11">
        <f t="shared" si="0"/>
        <v>14</v>
      </c>
      <c r="C24" s="11" t="s">
        <v>64</v>
      </c>
      <c r="D24" s="11" t="s">
        <v>92</v>
      </c>
      <c r="E24" s="11" t="s">
        <v>119</v>
      </c>
      <c r="F24" s="18" t="s">
        <v>119</v>
      </c>
      <c r="G24" s="11" t="s">
        <v>27</v>
      </c>
      <c r="H24" s="11" t="s">
        <v>58</v>
      </c>
      <c r="I24" s="11" t="s">
        <v>89</v>
      </c>
      <c r="J24" s="11" t="s">
        <v>30</v>
      </c>
      <c r="K24" s="11" t="s">
        <v>53</v>
      </c>
      <c r="L24" s="11" t="s">
        <v>32</v>
      </c>
      <c r="M24" s="27" t="s">
        <v>33</v>
      </c>
      <c r="N24" s="11" t="s">
        <v>120</v>
      </c>
      <c r="O24" s="19" t="s">
        <v>35</v>
      </c>
      <c r="P24" s="11" t="s">
        <v>36</v>
      </c>
      <c r="Q24" s="20">
        <v>30</v>
      </c>
      <c r="R24" s="21" t="s">
        <v>121</v>
      </c>
      <c r="S24" s="21" t="s">
        <v>98</v>
      </c>
      <c r="T24" s="22"/>
      <c r="U24" s="15"/>
      <c r="V24" s="22" t="s">
        <v>99</v>
      </c>
      <c r="W24" s="22" t="s">
        <v>122</v>
      </c>
      <c r="X24" s="22">
        <v>30</v>
      </c>
      <c r="Y24" s="22">
        <v>9</v>
      </c>
      <c r="Z24" s="22" t="s">
        <v>118</v>
      </c>
      <c r="AA24" s="22"/>
    </row>
    <row r="25" s="3" customFormat="1" ht="28" spans="1:27">
      <c r="A25" s="11">
        <f>IF(H25="","",COUNTA($H$4:H25))</f>
        <v>22</v>
      </c>
      <c r="B25" s="11">
        <f t="shared" si="0"/>
        <v>15</v>
      </c>
      <c r="C25" s="11" t="s">
        <v>64</v>
      </c>
      <c r="D25" s="11" t="s">
        <v>92</v>
      </c>
      <c r="E25" s="11" t="s">
        <v>123</v>
      </c>
      <c r="F25" s="18" t="s">
        <v>123</v>
      </c>
      <c r="G25" s="24" t="s">
        <v>109</v>
      </c>
      <c r="H25" s="11" t="s">
        <v>58</v>
      </c>
      <c r="I25" s="11" t="s">
        <v>89</v>
      </c>
      <c r="J25" s="11" t="s">
        <v>30</v>
      </c>
      <c r="K25" s="11" t="s">
        <v>53</v>
      </c>
      <c r="L25" s="11" t="s">
        <v>32</v>
      </c>
      <c r="M25" s="27" t="s">
        <v>33</v>
      </c>
      <c r="N25" s="11" t="s">
        <v>34</v>
      </c>
      <c r="O25" s="19" t="s">
        <v>35</v>
      </c>
      <c r="P25" s="24" t="s">
        <v>36</v>
      </c>
      <c r="Q25" s="20">
        <v>30</v>
      </c>
      <c r="R25" s="21" t="s">
        <v>124</v>
      </c>
      <c r="S25" s="21" t="s">
        <v>98</v>
      </c>
      <c r="T25" s="22"/>
      <c r="U25" s="15"/>
      <c r="V25" s="22" t="s">
        <v>99</v>
      </c>
      <c r="W25" s="22" t="s">
        <v>125</v>
      </c>
      <c r="X25" s="22">
        <v>30</v>
      </c>
      <c r="Y25" s="22">
        <v>15</v>
      </c>
      <c r="Z25" s="22" t="s">
        <v>118</v>
      </c>
      <c r="AA25" s="22"/>
    </row>
    <row r="26" s="3" customFormat="1" ht="28" spans="1:27">
      <c r="A26" s="11">
        <f>IF(H26="","",COUNTA($H$4:H26))</f>
        <v>23</v>
      </c>
      <c r="B26" s="11">
        <f t="shared" si="0"/>
        <v>16</v>
      </c>
      <c r="C26" s="11" t="s">
        <v>64</v>
      </c>
      <c r="D26" s="11" t="s">
        <v>83</v>
      </c>
      <c r="E26" s="11" t="s">
        <v>126</v>
      </c>
      <c r="F26" s="18" t="s">
        <v>126</v>
      </c>
      <c r="G26" s="11" t="s">
        <v>27</v>
      </c>
      <c r="H26" s="11" t="s">
        <v>58</v>
      </c>
      <c r="I26" s="11" t="s">
        <v>89</v>
      </c>
      <c r="J26" s="11" t="s">
        <v>30</v>
      </c>
      <c r="K26" s="11" t="s">
        <v>53</v>
      </c>
      <c r="L26" s="11" t="s">
        <v>54</v>
      </c>
      <c r="M26" s="19" t="s">
        <v>33</v>
      </c>
      <c r="N26" s="11" t="s">
        <v>34</v>
      </c>
      <c r="O26" s="19" t="s">
        <v>35</v>
      </c>
      <c r="P26" s="11" t="s">
        <v>36</v>
      </c>
      <c r="Q26" s="20">
        <v>30</v>
      </c>
      <c r="R26" s="21" t="s">
        <v>127</v>
      </c>
      <c r="S26" s="21" t="s">
        <v>107</v>
      </c>
      <c r="T26" s="22"/>
      <c r="U26" s="15"/>
      <c r="V26" s="22"/>
      <c r="W26" s="22"/>
      <c r="X26" s="22"/>
      <c r="Y26" s="22"/>
      <c r="Z26" s="22"/>
      <c r="AA26" s="22"/>
    </row>
    <row r="27" s="3" customFormat="1" ht="28" spans="1:27">
      <c r="A27" s="11">
        <f>IF(H27="","",COUNTA($H$4:H27))</f>
        <v>24</v>
      </c>
      <c r="B27" s="11">
        <f t="shared" si="0"/>
        <v>17</v>
      </c>
      <c r="C27" s="11" t="s">
        <v>64</v>
      </c>
      <c r="D27" s="11" t="s">
        <v>83</v>
      </c>
      <c r="E27" s="11" t="s">
        <v>128</v>
      </c>
      <c r="F27" s="18" t="s">
        <v>128</v>
      </c>
      <c r="G27" s="11" t="s">
        <v>27</v>
      </c>
      <c r="H27" s="11" t="s">
        <v>58</v>
      </c>
      <c r="I27" s="11" t="s">
        <v>89</v>
      </c>
      <c r="J27" s="11" t="s">
        <v>30</v>
      </c>
      <c r="K27" s="11" t="s">
        <v>53</v>
      </c>
      <c r="L27" s="11" t="s">
        <v>54</v>
      </c>
      <c r="M27" s="19" t="s">
        <v>33</v>
      </c>
      <c r="N27" s="11" t="s">
        <v>34</v>
      </c>
      <c r="O27" s="19" t="s">
        <v>35</v>
      </c>
      <c r="P27" s="11" t="s">
        <v>70</v>
      </c>
      <c r="Q27" s="20">
        <v>30</v>
      </c>
      <c r="R27" s="21" t="s">
        <v>129</v>
      </c>
      <c r="S27" s="21" t="s">
        <v>98</v>
      </c>
      <c r="T27" s="22"/>
      <c r="U27" s="15"/>
      <c r="V27" s="22" t="s">
        <v>99</v>
      </c>
      <c r="W27" s="22" t="s">
        <v>130</v>
      </c>
      <c r="X27" s="22">
        <v>30</v>
      </c>
      <c r="Y27" s="22">
        <v>15</v>
      </c>
      <c r="Z27" s="22" t="s">
        <v>118</v>
      </c>
      <c r="AA27" s="22"/>
    </row>
    <row r="28" s="3" customFormat="1" ht="28" spans="1:27">
      <c r="A28" s="11">
        <f>IF(H28="","",COUNTA($H$4:H28))</f>
        <v>25</v>
      </c>
      <c r="B28" s="11">
        <f t="shared" si="0"/>
        <v>18</v>
      </c>
      <c r="C28" s="11" t="s">
        <v>64</v>
      </c>
      <c r="D28" s="11" t="s">
        <v>92</v>
      </c>
      <c r="E28" s="11" t="s">
        <v>131</v>
      </c>
      <c r="F28" s="18" t="s">
        <v>131</v>
      </c>
      <c r="G28" s="11" t="s">
        <v>27</v>
      </c>
      <c r="H28" s="11" t="s">
        <v>58</v>
      </c>
      <c r="I28" s="11" t="s">
        <v>89</v>
      </c>
      <c r="J28" s="11" t="s">
        <v>30</v>
      </c>
      <c r="K28" s="11" t="s">
        <v>53</v>
      </c>
      <c r="L28" s="11" t="s">
        <v>32</v>
      </c>
      <c r="M28" s="19" t="s">
        <v>33</v>
      </c>
      <c r="N28" s="24" t="s">
        <v>34</v>
      </c>
      <c r="O28" s="19" t="s">
        <v>35</v>
      </c>
      <c r="P28" s="11" t="s">
        <v>36</v>
      </c>
      <c r="Q28" s="20">
        <v>30</v>
      </c>
      <c r="R28" s="21" t="s">
        <v>132</v>
      </c>
      <c r="S28" s="21" t="s">
        <v>98</v>
      </c>
      <c r="T28" s="22"/>
      <c r="U28" s="15"/>
      <c r="V28" s="22" t="s">
        <v>99</v>
      </c>
      <c r="W28" s="22" t="s">
        <v>133</v>
      </c>
      <c r="X28" s="22">
        <v>30</v>
      </c>
      <c r="Y28" s="22">
        <v>21</v>
      </c>
      <c r="Z28" s="22" t="s">
        <v>118</v>
      </c>
      <c r="AA28" s="22"/>
    </row>
    <row r="29" s="3" customFormat="1" ht="28" spans="1:27">
      <c r="A29" s="11">
        <f>IF(H29="","",COUNTA($H$4:H29))</f>
        <v>26</v>
      </c>
      <c r="B29" s="11">
        <f t="shared" si="0"/>
        <v>1</v>
      </c>
      <c r="C29" s="11" t="s">
        <v>134</v>
      </c>
      <c r="D29" s="11" t="s">
        <v>135</v>
      </c>
      <c r="E29" s="11" t="s">
        <v>136</v>
      </c>
      <c r="F29" s="23" t="s">
        <v>136</v>
      </c>
      <c r="G29" s="11" t="s">
        <v>67</v>
      </c>
      <c r="H29" s="11" t="s">
        <v>58</v>
      </c>
      <c r="I29" s="11" t="s">
        <v>89</v>
      </c>
      <c r="J29" s="11" t="s">
        <v>137</v>
      </c>
      <c r="K29" s="11" t="s">
        <v>53</v>
      </c>
      <c r="L29" s="11" t="s">
        <v>138</v>
      </c>
      <c r="M29" s="19" t="s">
        <v>139</v>
      </c>
      <c r="N29" s="11">
        <v>0</v>
      </c>
      <c r="O29" s="19" t="s">
        <v>48</v>
      </c>
      <c r="P29" s="11">
        <v>0</v>
      </c>
      <c r="Q29" s="20">
        <v>120</v>
      </c>
      <c r="R29" s="21"/>
      <c r="S29" s="21" t="s">
        <v>107</v>
      </c>
      <c r="T29" s="22"/>
      <c r="U29" s="15"/>
      <c r="V29" s="22"/>
      <c r="W29" s="22"/>
      <c r="X29" s="22"/>
      <c r="Y29" s="22"/>
      <c r="Z29" s="22"/>
      <c r="AA29" s="22"/>
    </row>
    <row r="30" s="3" customFormat="1" ht="28" spans="1:27">
      <c r="A30" s="11">
        <f>IF(H30="","",COUNTA($H$4:H30))</f>
        <v>27</v>
      </c>
      <c r="B30" s="11">
        <f t="shared" si="0"/>
        <v>2</v>
      </c>
      <c r="C30" s="11" t="s">
        <v>134</v>
      </c>
      <c r="D30" s="11" t="s">
        <v>135</v>
      </c>
      <c r="E30" s="11" t="s">
        <v>140</v>
      </c>
      <c r="F30" s="23" t="s">
        <v>140</v>
      </c>
      <c r="G30" s="11" t="s">
        <v>67</v>
      </c>
      <c r="H30" s="11" t="s">
        <v>58</v>
      </c>
      <c r="I30" s="11" t="s">
        <v>89</v>
      </c>
      <c r="J30" s="11" t="s">
        <v>137</v>
      </c>
      <c r="K30" s="11" t="s">
        <v>53</v>
      </c>
      <c r="L30" s="11" t="s">
        <v>138</v>
      </c>
      <c r="M30" s="19" t="s">
        <v>139</v>
      </c>
      <c r="N30" s="11">
        <v>0</v>
      </c>
      <c r="O30" s="19" t="s">
        <v>48</v>
      </c>
      <c r="P30" s="11">
        <v>0</v>
      </c>
      <c r="Q30" s="20">
        <v>120</v>
      </c>
      <c r="R30" s="21"/>
      <c r="S30" s="21" t="s">
        <v>107</v>
      </c>
      <c r="T30" s="22"/>
      <c r="U30" s="15"/>
      <c r="V30" s="22"/>
      <c r="W30" s="22"/>
      <c r="X30" s="22"/>
      <c r="Y30" s="22"/>
      <c r="Z30" s="22"/>
      <c r="AA30" s="22"/>
    </row>
    <row r="31" s="3" customFormat="1" ht="28" spans="1:27">
      <c r="A31" s="11">
        <f>IF(H31="","",COUNTA($H$4:H31))</f>
        <v>28</v>
      </c>
      <c r="B31" s="11">
        <f t="shared" si="0"/>
        <v>3</v>
      </c>
      <c r="C31" s="11" t="s">
        <v>134</v>
      </c>
      <c r="D31" s="11" t="s">
        <v>135</v>
      </c>
      <c r="E31" s="11" t="s">
        <v>141</v>
      </c>
      <c r="F31" s="28" t="s">
        <v>141</v>
      </c>
      <c r="G31" s="11" t="s">
        <v>67</v>
      </c>
      <c r="H31" s="11" t="s">
        <v>28</v>
      </c>
      <c r="I31" s="11" t="s">
        <v>89</v>
      </c>
      <c r="J31" s="11" t="s">
        <v>68</v>
      </c>
      <c r="K31" s="11" t="s">
        <v>44</v>
      </c>
      <c r="L31" s="11" t="s">
        <v>138</v>
      </c>
      <c r="M31" s="19" t="s">
        <v>142</v>
      </c>
      <c r="N31" s="11" t="s">
        <v>143</v>
      </c>
      <c r="O31" s="19" t="s">
        <v>35</v>
      </c>
      <c r="P31" s="11" t="s">
        <v>36</v>
      </c>
      <c r="Q31" s="20">
        <v>100</v>
      </c>
      <c r="R31" s="21" t="s">
        <v>144</v>
      </c>
      <c r="S31" s="21" t="s">
        <v>38</v>
      </c>
      <c r="T31" s="22" t="s">
        <v>145</v>
      </c>
      <c r="U31" s="15">
        <v>46468</v>
      </c>
      <c r="V31" s="22"/>
      <c r="W31" s="22"/>
      <c r="X31" s="22"/>
      <c r="Y31" s="22"/>
      <c r="Z31" s="22"/>
      <c r="AA31" s="22"/>
    </row>
    <row r="32" s="3" customFormat="1" ht="28" spans="1:27">
      <c r="A32" s="11">
        <f>IF(H32="","",COUNTA($H$4:H32))</f>
        <v>29</v>
      </c>
      <c r="B32" s="11">
        <f t="shared" si="0"/>
        <v>4</v>
      </c>
      <c r="C32" s="11" t="s">
        <v>134</v>
      </c>
      <c r="D32" s="11" t="s">
        <v>135</v>
      </c>
      <c r="E32" s="11" t="s">
        <v>146</v>
      </c>
      <c r="F32" s="28" t="s">
        <v>146</v>
      </c>
      <c r="G32" s="11" t="s">
        <v>67</v>
      </c>
      <c r="H32" s="11" t="s">
        <v>28</v>
      </c>
      <c r="I32" s="11" t="s">
        <v>89</v>
      </c>
      <c r="J32" s="11" t="s">
        <v>30</v>
      </c>
      <c r="K32" s="11" t="s">
        <v>31</v>
      </c>
      <c r="L32" s="11" t="s">
        <v>138</v>
      </c>
      <c r="M32" s="19" t="s">
        <v>139</v>
      </c>
      <c r="N32" s="11" t="s">
        <v>69</v>
      </c>
      <c r="O32" s="19" t="s">
        <v>35</v>
      </c>
      <c r="P32" s="11" t="s">
        <v>36</v>
      </c>
      <c r="Q32" s="20">
        <v>30</v>
      </c>
      <c r="R32" s="21" t="s">
        <v>147</v>
      </c>
      <c r="S32" s="21" t="s">
        <v>38</v>
      </c>
      <c r="T32" s="22" t="s">
        <v>148</v>
      </c>
      <c r="U32" s="26">
        <v>46829</v>
      </c>
      <c r="V32" s="22"/>
      <c r="W32" s="22"/>
      <c r="X32" s="22"/>
      <c r="Y32" s="22"/>
      <c r="Z32" s="22"/>
      <c r="AA32" s="22"/>
    </row>
    <row r="33" s="3" customFormat="1" ht="28" spans="1:27">
      <c r="A33" s="11">
        <f>IF(H33="","",COUNTA($H$4:H33))</f>
        <v>30</v>
      </c>
      <c r="B33" s="11">
        <f t="shared" si="0"/>
        <v>5</v>
      </c>
      <c r="C33" s="11" t="s">
        <v>134</v>
      </c>
      <c r="D33" s="11" t="s">
        <v>149</v>
      </c>
      <c r="E33" s="11" t="s">
        <v>150</v>
      </c>
      <c r="F33" s="29" t="s">
        <v>151</v>
      </c>
      <c r="G33" s="11" t="s">
        <v>67</v>
      </c>
      <c r="H33" s="11" t="s">
        <v>28</v>
      </c>
      <c r="I33" s="11" t="s">
        <v>89</v>
      </c>
      <c r="J33" s="24" t="s">
        <v>30</v>
      </c>
      <c r="K33" s="11" t="s">
        <v>31</v>
      </c>
      <c r="L33" s="11" t="s">
        <v>138</v>
      </c>
      <c r="M33" s="19" t="s">
        <v>33</v>
      </c>
      <c r="N33" s="11" t="s">
        <v>34</v>
      </c>
      <c r="O33" s="19" t="s">
        <v>35</v>
      </c>
      <c r="P33" s="11" t="s">
        <v>36</v>
      </c>
      <c r="Q33" s="20">
        <v>45</v>
      </c>
      <c r="R33" s="21" t="s">
        <v>152</v>
      </c>
      <c r="S33" s="21" t="s">
        <v>38</v>
      </c>
      <c r="T33" s="22" t="s">
        <v>153</v>
      </c>
      <c r="U33" s="15">
        <v>46929</v>
      </c>
      <c r="V33" s="22"/>
      <c r="W33" s="22"/>
      <c r="X33" s="22"/>
      <c r="Y33" s="22"/>
      <c r="Z33" s="22"/>
      <c r="AA33" s="22"/>
    </row>
    <row r="34" s="3" customFormat="1" ht="28" spans="1:27">
      <c r="A34" s="11">
        <f>IF(H34="","",COUNTA($H$4:H34))</f>
        <v>31</v>
      </c>
      <c r="B34" s="11">
        <f t="shared" si="0"/>
        <v>6</v>
      </c>
      <c r="C34" s="11" t="s">
        <v>134</v>
      </c>
      <c r="D34" s="11" t="s">
        <v>135</v>
      </c>
      <c r="E34" s="11" t="s">
        <v>154</v>
      </c>
      <c r="F34" s="18" t="s">
        <v>154</v>
      </c>
      <c r="G34" s="11" t="s">
        <v>27</v>
      </c>
      <c r="H34" s="11" t="s">
        <v>28</v>
      </c>
      <c r="I34" s="11" t="s">
        <v>89</v>
      </c>
      <c r="J34" s="11" t="s">
        <v>30</v>
      </c>
      <c r="K34" s="11" t="s">
        <v>44</v>
      </c>
      <c r="L34" s="11" t="s">
        <v>54</v>
      </c>
      <c r="M34" s="19" t="s">
        <v>33</v>
      </c>
      <c r="N34" s="11" t="s">
        <v>34</v>
      </c>
      <c r="O34" s="19" t="s">
        <v>35</v>
      </c>
      <c r="P34" s="11" t="s">
        <v>36</v>
      </c>
      <c r="Q34" s="20">
        <v>30</v>
      </c>
      <c r="R34" s="21" t="s">
        <v>155</v>
      </c>
      <c r="S34" s="21" t="s">
        <v>38</v>
      </c>
      <c r="T34" s="22" t="s">
        <v>156</v>
      </c>
      <c r="U34" s="15">
        <v>47110</v>
      </c>
      <c r="V34" s="22"/>
      <c r="W34" s="22"/>
      <c r="X34" s="22"/>
      <c r="Y34" s="22"/>
      <c r="Z34" s="22"/>
      <c r="AA34" s="22"/>
    </row>
    <row r="35" s="3" customFormat="1" ht="28" spans="1:27">
      <c r="A35" s="11">
        <f>IF(H35="","",COUNTA($H$4:H35))</f>
        <v>32</v>
      </c>
      <c r="B35" s="11">
        <f t="shared" si="0"/>
        <v>7</v>
      </c>
      <c r="C35" s="11" t="s">
        <v>134</v>
      </c>
      <c r="D35" s="11" t="s">
        <v>149</v>
      </c>
      <c r="E35" s="11" t="s">
        <v>157</v>
      </c>
      <c r="F35" s="30" t="s">
        <v>158</v>
      </c>
      <c r="G35" s="11" t="s">
        <v>67</v>
      </c>
      <c r="H35" s="11" t="s">
        <v>28</v>
      </c>
      <c r="I35" s="11" t="s">
        <v>89</v>
      </c>
      <c r="J35" s="11" t="s">
        <v>30</v>
      </c>
      <c r="K35" s="11" t="s">
        <v>31</v>
      </c>
      <c r="L35" s="11" t="s">
        <v>138</v>
      </c>
      <c r="M35" s="19" t="s">
        <v>33</v>
      </c>
      <c r="N35" s="11" t="s">
        <v>34</v>
      </c>
      <c r="O35" s="19" t="s">
        <v>35</v>
      </c>
      <c r="P35" s="11" t="s">
        <v>36</v>
      </c>
      <c r="Q35" s="20">
        <v>21</v>
      </c>
      <c r="R35" s="21" t="s">
        <v>159</v>
      </c>
      <c r="S35" s="21" t="s">
        <v>38</v>
      </c>
      <c r="T35" s="22" t="s">
        <v>160</v>
      </c>
      <c r="U35" s="15">
        <v>46942</v>
      </c>
      <c r="V35" s="22"/>
      <c r="W35" s="22"/>
      <c r="X35" s="22"/>
      <c r="Y35" s="22"/>
      <c r="Z35" s="22"/>
      <c r="AA35" s="22"/>
    </row>
    <row r="36" s="3" customFormat="1" ht="28" spans="1:27">
      <c r="A36" s="11">
        <f>IF(H36="","",COUNTA($H$4:H36))</f>
        <v>33</v>
      </c>
      <c r="B36" s="11">
        <f t="shared" si="0"/>
        <v>8</v>
      </c>
      <c r="C36" s="11" t="s">
        <v>134</v>
      </c>
      <c r="D36" s="11" t="s">
        <v>149</v>
      </c>
      <c r="E36" s="11" t="s">
        <v>161</v>
      </c>
      <c r="F36" s="18" t="s">
        <v>161</v>
      </c>
      <c r="G36" s="11" t="s">
        <v>27</v>
      </c>
      <c r="H36" s="11" t="s">
        <v>28</v>
      </c>
      <c r="I36" s="11" t="s">
        <v>89</v>
      </c>
      <c r="J36" s="11" t="s">
        <v>30</v>
      </c>
      <c r="K36" s="11" t="s">
        <v>44</v>
      </c>
      <c r="L36" s="11" t="s">
        <v>32</v>
      </c>
      <c r="M36" s="19" t="s">
        <v>33</v>
      </c>
      <c r="N36" s="11" t="s">
        <v>34</v>
      </c>
      <c r="O36" s="19" t="s">
        <v>35</v>
      </c>
      <c r="P36" s="11" t="s">
        <v>36</v>
      </c>
      <c r="Q36" s="20">
        <v>21</v>
      </c>
      <c r="R36" s="21" t="s">
        <v>162</v>
      </c>
      <c r="S36" s="21" t="s">
        <v>38</v>
      </c>
      <c r="T36" s="22" t="s">
        <v>163</v>
      </c>
      <c r="U36" s="15">
        <v>46168</v>
      </c>
      <c r="V36" s="22"/>
      <c r="W36" s="22"/>
      <c r="X36" s="22"/>
      <c r="Y36" s="22"/>
      <c r="Z36" s="22"/>
      <c r="AA36" s="22"/>
    </row>
    <row r="37" s="3" customFormat="1" ht="28" spans="1:27">
      <c r="A37" s="11">
        <f>IF(H37="","",COUNTA($H$4:H37))</f>
        <v>34</v>
      </c>
      <c r="B37" s="11">
        <f t="shared" si="0"/>
        <v>9</v>
      </c>
      <c r="C37" s="11" t="s">
        <v>134</v>
      </c>
      <c r="D37" s="11" t="s">
        <v>149</v>
      </c>
      <c r="E37" s="11" t="s">
        <v>164</v>
      </c>
      <c r="F37" s="18" t="s">
        <v>164</v>
      </c>
      <c r="G37" s="11" t="s">
        <v>27</v>
      </c>
      <c r="H37" s="11" t="s">
        <v>28</v>
      </c>
      <c r="I37" s="11" t="s">
        <v>89</v>
      </c>
      <c r="J37" s="11" t="s">
        <v>52</v>
      </c>
      <c r="K37" s="11" t="s">
        <v>44</v>
      </c>
      <c r="L37" s="11" t="s">
        <v>32</v>
      </c>
      <c r="M37" s="19" t="s">
        <v>33</v>
      </c>
      <c r="N37" s="11" t="s">
        <v>69</v>
      </c>
      <c r="O37" s="19" t="s">
        <v>35</v>
      </c>
      <c r="P37" s="11" t="s">
        <v>36</v>
      </c>
      <c r="Q37" s="20">
        <v>15</v>
      </c>
      <c r="R37" s="21" t="s">
        <v>165</v>
      </c>
      <c r="S37" s="21" t="s">
        <v>38</v>
      </c>
      <c r="T37" s="22" t="s">
        <v>166</v>
      </c>
      <c r="U37" s="15">
        <v>46717</v>
      </c>
      <c r="V37" s="22"/>
      <c r="W37" s="22"/>
      <c r="X37" s="22"/>
      <c r="Y37" s="22"/>
      <c r="Z37" s="22"/>
      <c r="AA37" s="22"/>
    </row>
    <row r="38" s="3" customFormat="1" ht="28" spans="1:27">
      <c r="A38" s="11">
        <f>IF(H38="","",COUNTA($H$4:H38))</f>
        <v>35</v>
      </c>
      <c r="B38" s="11">
        <f t="shared" si="0"/>
        <v>10</v>
      </c>
      <c r="C38" s="11" t="s">
        <v>134</v>
      </c>
      <c r="D38" s="11" t="s">
        <v>135</v>
      </c>
      <c r="E38" s="11" t="s">
        <v>167</v>
      </c>
      <c r="F38" s="18" t="s">
        <v>167</v>
      </c>
      <c r="G38" s="11" t="s">
        <v>27</v>
      </c>
      <c r="H38" s="11" t="s">
        <v>58</v>
      </c>
      <c r="I38" s="11" t="s">
        <v>89</v>
      </c>
      <c r="J38" s="11" t="s">
        <v>52</v>
      </c>
      <c r="K38" s="11" t="s">
        <v>53</v>
      </c>
      <c r="L38" s="11" t="s">
        <v>32</v>
      </c>
      <c r="M38" s="19" t="s">
        <v>139</v>
      </c>
      <c r="N38" s="11" t="s">
        <v>69</v>
      </c>
      <c r="O38" s="19" t="s">
        <v>35</v>
      </c>
      <c r="P38" s="11" t="s">
        <v>36</v>
      </c>
      <c r="Q38" s="20">
        <v>45</v>
      </c>
      <c r="R38" s="21" t="s">
        <v>168</v>
      </c>
      <c r="S38" s="21" t="s">
        <v>98</v>
      </c>
      <c r="T38" s="22"/>
      <c r="U38" s="15"/>
      <c r="V38" s="22" t="s">
        <v>169</v>
      </c>
      <c r="W38" s="22" t="s">
        <v>170</v>
      </c>
      <c r="X38" s="22">
        <v>45</v>
      </c>
      <c r="Y38" s="22">
        <v>45</v>
      </c>
      <c r="Z38" s="22" t="s">
        <v>171</v>
      </c>
      <c r="AA38" s="22"/>
    </row>
    <row r="39" s="3" customFormat="1" ht="28" spans="1:27">
      <c r="A39" s="11">
        <f>IF(H39="","",COUNTA($H$4:H39))</f>
        <v>36</v>
      </c>
      <c r="B39" s="11">
        <f t="shared" si="0"/>
        <v>11</v>
      </c>
      <c r="C39" s="11" t="s">
        <v>134</v>
      </c>
      <c r="D39" s="11" t="s">
        <v>135</v>
      </c>
      <c r="E39" s="11" t="s">
        <v>172</v>
      </c>
      <c r="F39" s="18" t="s">
        <v>172</v>
      </c>
      <c r="G39" s="11" t="s">
        <v>27</v>
      </c>
      <c r="H39" s="11" t="s">
        <v>58</v>
      </c>
      <c r="I39" s="11" t="s">
        <v>89</v>
      </c>
      <c r="J39" s="11" t="s">
        <v>52</v>
      </c>
      <c r="K39" s="11" t="s">
        <v>53</v>
      </c>
      <c r="L39" s="11" t="s">
        <v>32</v>
      </c>
      <c r="M39" s="19" t="s">
        <v>33</v>
      </c>
      <c r="N39" s="11" t="s">
        <v>34</v>
      </c>
      <c r="O39" s="19" t="s">
        <v>35</v>
      </c>
      <c r="P39" s="11" t="s">
        <v>36</v>
      </c>
      <c r="Q39" s="20">
        <v>15</v>
      </c>
      <c r="R39" s="21" t="s">
        <v>173</v>
      </c>
      <c r="S39" s="21" t="s">
        <v>98</v>
      </c>
      <c r="T39" s="22"/>
      <c r="U39" s="15"/>
      <c r="V39" s="22" t="s">
        <v>174</v>
      </c>
      <c r="W39" s="22" t="s">
        <v>175</v>
      </c>
      <c r="X39" s="22">
        <v>15</v>
      </c>
      <c r="Y39" s="22">
        <v>4</v>
      </c>
      <c r="Z39" s="22" t="s">
        <v>176</v>
      </c>
      <c r="AA39" s="22"/>
    </row>
    <row r="40" s="3" customFormat="1" ht="28" spans="1:27">
      <c r="A40" s="11">
        <f>IF(H40="","",COUNTA($H$4:H40))</f>
        <v>37</v>
      </c>
      <c r="B40" s="11">
        <f t="shared" si="0"/>
        <v>12</v>
      </c>
      <c r="C40" s="11" t="s">
        <v>134</v>
      </c>
      <c r="D40" s="11" t="s">
        <v>135</v>
      </c>
      <c r="E40" s="11" t="s">
        <v>177</v>
      </c>
      <c r="F40" s="18" t="s">
        <v>177</v>
      </c>
      <c r="G40" s="11" t="s">
        <v>27</v>
      </c>
      <c r="H40" s="11" t="s">
        <v>58</v>
      </c>
      <c r="I40" s="11" t="s">
        <v>89</v>
      </c>
      <c r="J40" s="11" t="s">
        <v>30</v>
      </c>
      <c r="K40" s="11" t="s">
        <v>53</v>
      </c>
      <c r="L40" s="11" t="s">
        <v>54</v>
      </c>
      <c r="M40" s="19" t="s">
        <v>33</v>
      </c>
      <c r="N40" s="11" t="s">
        <v>34</v>
      </c>
      <c r="O40" s="19" t="s">
        <v>35</v>
      </c>
      <c r="P40" s="11" t="s">
        <v>36</v>
      </c>
      <c r="Q40" s="20">
        <v>30</v>
      </c>
      <c r="R40" s="21" t="s">
        <v>178</v>
      </c>
      <c r="S40" s="21" t="s">
        <v>98</v>
      </c>
      <c r="T40" s="22"/>
      <c r="U40" s="15"/>
      <c r="V40" s="22" t="s">
        <v>99</v>
      </c>
      <c r="W40" s="22" t="s">
        <v>179</v>
      </c>
      <c r="X40" s="22">
        <v>30</v>
      </c>
      <c r="Y40" s="22">
        <v>9</v>
      </c>
      <c r="Z40" s="22" t="s">
        <v>118</v>
      </c>
      <c r="AA40" s="22"/>
    </row>
    <row r="41" s="3" customFormat="1" ht="28" spans="1:27">
      <c r="A41" s="11">
        <f>IF(H41="","",COUNTA($H$4:H41))</f>
        <v>38</v>
      </c>
      <c r="B41" s="11">
        <f t="shared" si="0"/>
        <v>13</v>
      </c>
      <c r="C41" s="11" t="s">
        <v>134</v>
      </c>
      <c r="D41" s="11" t="s">
        <v>149</v>
      </c>
      <c r="E41" s="11" t="s">
        <v>180</v>
      </c>
      <c r="F41" s="18" t="s">
        <v>180</v>
      </c>
      <c r="G41" s="11" t="s">
        <v>27</v>
      </c>
      <c r="H41" s="11" t="s">
        <v>58</v>
      </c>
      <c r="I41" s="11" t="s">
        <v>89</v>
      </c>
      <c r="J41" s="11" t="s">
        <v>30</v>
      </c>
      <c r="K41" s="11" t="s">
        <v>53</v>
      </c>
      <c r="L41" s="11" t="s">
        <v>32</v>
      </c>
      <c r="M41" s="19" t="s">
        <v>33</v>
      </c>
      <c r="N41" s="11" t="s">
        <v>34</v>
      </c>
      <c r="O41" s="19" t="s">
        <v>35</v>
      </c>
      <c r="P41" s="11" t="s">
        <v>36</v>
      </c>
      <c r="Q41" s="20">
        <v>30</v>
      </c>
      <c r="R41" s="21" t="s">
        <v>181</v>
      </c>
      <c r="S41" s="21" t="s">
        <v>107</v>
      </c>
      <c r="T41" s="22"/>
      <c r="U41" s="15"/>
      <c r="V41" s="22"/>
      <c r="W41" s="22"/>
      <c r="X41" s="22"/>
      <c r="Y41" s="22"/>
      <c r="Z41" s="22"/>
      <c r="AA41" s="22"/>
    </row>
    <row r="42" s="3" customFormat="1" ht="28" spans="1:27">
      <c r="A42" s="11">
        <f>IF(H42="","",COUNTA($H$4:H42))</f>
        <v>39</v>
      </c>
      <c r="B42" s="11">
        <f t="shared" si="0"/>
        <v>1</v>
      </c>
      <c r="C42" s="11" t="s">
        <v>182</v>
      </c>
      <c r="D42" s="11" t="s">
        <v>183</v>
      </c>
      <c r="E42" s="11" t="s">
        <v>184</v>
      </c>
      <c r="F42" s="23" t="s">
        <v>184</v>
      </c>
      <c r="G42" s="11" t="s">
        <v>67</v>
      </c>
      <c r="H42" s="11" t="s">
        <v>28</v>
      </c>
      <c r="I42" s="11" t="s">
        <v>29</v>
      </c>
      <c r="J42" s="11" t="s">
        <v>30</v>
      </c>
      <c r="K42" s="11" t="s">
        <v>31</v>
      </c>
      <c r="L42" s="11" t="s">
        <v>32</v>
      </c>
      <c r="M42" s="19" t="s">
        <v>33</v>
      </c>
      <c r="N42" s="11" t="s">
        <v>69</v>
      </c>
      <c r="O42" s="19" t="s">
        <v>35</v>
      </c>
      <c r="P42" s="11" t="s">
        <v>70</v>
      </c>
      <c r="Q42" s="20">
        <v>45</v>
      </c>
      <c r="R42" s="21" t="s">
        <v>185</v>
      </c>
      <c r="S42" s="21" t="s">
        <v>38</v>
      </c>
      <c r="T42" s="22" t="s">
        <v>186</v>
      </c>
      <c r="U42" s="26">
        <v>46631</v>
      </c>
      <c r="V42" s="22"/>
      <c r="W42" s="22"/>
      <c r="X42" s="22"/>
      <c r="Y42" s="22"/>
      <c r="Z42" s="22"/>
      <c r="AA42" s="22"/>
    </row>
    <row r="43" s="3" customFormat="1" ht="28" spans="1:27">
      <c r="A43" s="11">
        <f>IF(H43="","",COUNTA($H$4:H43))</f>
        <v>40</v>
      </c>
      <c r="B43" s="11">
        <f t="shared" si="0"/>
        <v>2</v>
      </c>
      <c r="C43" s="11" t="s">
        <v>182</v>
      </c>
      <c r="D43" s="11" t="s">
        <v>183</v>
      </c>
      <c r="E43" s="11" t="s">
        <v>187</v>
      </c>
      <c r="F43" s="23" t="s">
        <v>187</v>
      </c>
      <c r="G43" s="11" t="s">
        <v>67</v>
      </c>
      <c r="H43" s="11" t="s">
        <v>28</v>
      </c>
      <c r="I43" s="11" t="s">
        <v>110</v>
      </c>
      <c r="J43" s="11" t="s">
        <v>30</v>
      </c>
      <c r="K43" s="11" t="s">
        <v>31</v>
      </c>
      <c r="L43" s="11" t="s">
        <v>32</v>
      </c>
      <c r="M43" s="19" t="s">
        <v>33</v>
      </c>
      <c r="N43" s="11" t="s">
        <v>34</v>
      </c>
      <c r="O43" s="19" t="s">
        <v>35</v>
      </c>
      <c r="P43" s="11" t="s">
        <v>70</v>
      </c>
      <c r="Q43" s="20">
        <v>45</v>
      </c>
      <c r="R43" s="21" t="s">
        <v>188</v>
      </c>
      <c r="S43" s="21" t="s">
        <v>38</v>
      </c>
      <c r="T43" s="22" t="s">
        <v>189</v>
      </c>
      <c r="U43" s="26">
        <v>46631</v>
      </c>
      <c r="V43" s="22"/>
      <c r="W43" s="22"/>
      <c r="X43" s="22"/>
      <c r="Y43" s="22"/>
      <c r="Z43" s="22"/>
      <c r="AA43" s="22"/>
    </row>
    <row r="44" s="3" customFormat="1" ht="28" spans="1:27">
      <c r="A44" s="11">
        <f>IF(H44="","",COUNTA($H$4:H44))</f>
        <v>41</v>
      </c>
      <c r="B44" s="11">
        <f t="shared" si="0"/>
        <v>3</v>
      </c>
      <c r="C44" s="11" t="s">
        <v>182</v>
      </c>
      <c r="D44" s="11" t="s">
        <v>183</v>
      </c>
      <c r="E44" s="11" t="s">
        <v>190</v>
      </c>
      <c r="F44" s="23" t="s">
        <v>190</v>
      </c>
      <c r="G44" s="11" t="s">
        <v>67</v>
      </c>
      <c r="H44" s="11" t="s">
        <v>28</v>
      </c>
      <c r="I44" s="11" t="s">
        <v>110</v>
      </c>
      <c r="J44" s="11" t="s">
        <v>68</v>
      </c>
      <c r="K44" s="11" t="s">
        <v>31</v>
      </c>
      <c r="L44" s="11" t="s">
        <v>32</v>
      </c>
      <c r="M44" s="19" t="s">
        <v>33</v>
      </c>
      <c r="N44" s="11" t="s">
        <v>69</v>
      </c>
      <c r="O44" s="19" t="s">
        <v>35</v>
      </c>
      <c r="P44" s="11" t="s">
        <v>70</v>
      </c>
      <c r="Q44" s="20">
        <v>45</v>
      </c>
      <c r="R44" s="21" t="s">
        <v>191</v>
      </c>
      <c r="S44" s="21" t="s">
        <v>38</v>
      </c>
      <c r="T44" s="22" t="s">
        <v>192</v>
      </c>
      <c r="U44" s="15">
        <v>46343</v>
      </c>
      <c r="V44" s="22"/>
      <c r="W44" s="22"/>
      <c r="X44" s="22"/>
      <c r="Y44" s="22"/>
      <c r="Z44" s="22"/>
      <c r="AA44" s="22"/>
    </row>
    <row r="45" s="3" customFormat="1" ht="28" spans="1:27">
      <c r="A45" s="11">
        <f>IF(H45="","",COUNTA($H$4:H45))</f>
        <v>42</v>
      </c>
      <c r="B45" s="11">
        <f t="shared" si="0"/>
        <v>4</v>
      </c>
      <c r="C45" s="11" t="s">
        <v>182</v>
      </c>
      <c r="D45" s="11" t="s">
        <v>183</v>
      </c>
      <c r="E45" s="11" t="s">
        <v>193</v>
      </c>
      <c r="F45" s="23" t="s">
        <v>193</v>
      </c>
      <c r="G45" s="11" t="s">
        <v>67</v>
      </c>
      <c r="H45" s="11" t="s">
        <v>28</v>
      </c>
      <c r="I45" s="11" t="s">
        <v>110</v>
      </c>
      <c r="J45" s="11" t="s">
        <v>68</v>
      </c>
      <c r="K45" s="11" t="s">
        <v>78</v>
      </c>
      <c r="L45" s="11" t="s">
        <v>54</v>
      </c>
      <c r="M45" s="19" t="s">
        <v>33</v>
      </c>
      <c r="N45" s="11" t="s">
        <v>34</v>
      </c>
      <c r="O45" s="19" t="s">
        <v>35</v>
      </c>
      <c r="P45" s="11" t="s">
        <v>70</v>
      </c>
      <c r="Q45" s="20">
        <v>70</v>
      </c>
      <c r="R45" s="21" t="s">
        <v>194</v>
      </c>
      <c r="S45" s="21" t="s">
        <v>38</v>
      </c>
      <c r="T45" s="22" t="s">
        <v>195</v>
      </c>
      <c r="U45" s="15">
        <v>46307</v>
      </c>
      <c r="V45" s="22"/>
      <c r="W45" s="22"/>
      <c r="X45" s="22"/>
      <c r="Y45" s="22"/>
      <c r="Z45" s="22"/>
      <c r="AA45" s="22"/>
    </row>
    <row r="46" s="3" customFormat="1" ht="28" spans="1:27">
      <c r="A46" s="11">
        <f>IF(H46="","",COUNTA($H$4:H46))</f>
        <v>43</v>
      </c>
      <c r="B46" s="11">
        <f t="shared" si="0"/>
        <v>5</v>
      </c>
      <c r="C46" s="11" t="s">
        <v>182</v>
      </c>
      <c r="D46" s="11" t="s">
        <v>183</v>
      </c>
      <c r="E46" s="11" t="s">
        <v>196</v>
      </c>
      <c r="F46" s="18" t="s">
        <v>196</v>
      </c>
      <c r="G46" s="11" t="s">
        <v>27</v>
      </c>
      <c r="H46" s="11" t="s">
        <v>28</v>
      </c>
      <c r="I46" s="11" t="s">
        <v>110</v>
      </c>
      <c r="J46" s="11" t="s">
        <v>85</v>
      </c>
      <c r="K46" s="11" t="s">
        <v>44</v>
      </c>
      <c r="L46" s="11" t="s">
        <v>54</v>
      </c>
      <c r="M46" s="19" t="s">
        <v>33</v>
      </c>
      <c r="N46" s="11" t="s">
        <v>197</v>
      </c>
      <c r="O46" s="19" t="s">
        <v>35</v>
      </c>
      <c r="P46" s="11" t="s">
        <v>70</v>
      </c>
      <c r="Q46" s="20">
        <v>15</v>
      </c>
      <c r="R46" s="21" t="s">
        <v>198</v>
      </c>
      <c r="S46" s="21" t="s">
        <v>38</v>
      </c>
      <c r="T46" s="22" t="s">
        <v>199</v>
      </c>
      <c r="U46" s="15">
        <v>46657</v>
      </c>
      <c r="V46" s="22"/>
      <c r="W46" s="22"/>
      <c r="X46" s="22"/>
      <c r="Y46" s="22"/>
      <c r="Z46" s="22"/>
      <c r="AA46" s="22"/>
    </row>
    <row r="47" s="3" customFormat="1" ht="28" spans="1:27">
      <c r="A47" s="11">
        <f>IF(H47="","",COUNTA($H$4:H47))</f>
        <v>44</v>
      </c>
      <c r="B47" s="11">
        <f t="shared" si="0"/>
        <v>6</v>
      </c>
      <c r="C47" s="11" t="s">
        <v>182</v>
      </c>
      <c r="D47" s="11" t="s">
        <v>183</v>
      </c>
      <c r="E47" s="11" t="s">
        <v>200</v>
      </c>
      <c r="F47" s="18" t="s">
        <v>200</v>
      </c>
      <c r="G47" s="11" t="s">
        <v>27</v>
      </c>
      <c r="H47" s="11" t="s">
        <v>28</v>
      </c>
      <c r="I47" s="11" t="s">
        <v>29</v>
      </c>
      <c r="J47" s="11" t="s">
        <v>52</v>
      </c>
      <c r="K47" s="11" t="s">
        <v>31</v>
      </c>
      <c r="L47" s="11" t="s">
        <v>54</v>
      </c>
      <c r="M47" s="19" t="s">
        <v>139</v>
      </c>
      <c r="N47" s="11" t="s">
        <v>201</v>
      </c>
      <c r="O47" s="19" t="s">
        <v>35</v>
      </c>
      <c r="P47" s="11" t="s">
        <v>70</v>
      </c>
      <c r="Q47" s="20">
        <v>21</v>
      </c>
      <c r="R47" s="21" t="s">
        <v>202</v>
      </c>
      <c r="S47" s="21" t="s">
        <v>38</v>
      </c>
      <c r="T47" s="22" t="s">
        <v>203</v>
      </c>
      <c r="U47" s="15">
        <v>46249</v>
      </c>
      <c r="V47" s="22"/>
      <c r="W47" s="22"/>
      <c r="X47" s="22"/>
      <c r="Y47" s="22"/>
      <c r="Z47" s="22"/>
      <c r="AA47" s="22"/>
    </row>
    <row r="48" s="3" customFormat="1" ht="28" spans="1:27">
      <c r="A48" s="11">
        <f>IF(H48="","",COUNTA($H$4:H48))</f>
        <v>45</v>
      </c>
      <c r="B48" s="11">
        <f t="shared" si="0"/>
        <v>7</v>
      </c>
      <c r="C48" s="11" t="s">
        <v>182</v>
      </c>
      <c r="D48" s="11" t="s">
        <v>204</v>
      </c>
      <c r="E48" s="11" t="s">
        <v>205</v>
      </c>
      <c r="F48" s="18" t="s">
        <v>205</v>
      </c>
      <c r="G48" s="11" t="s">
        <v>27</v>
      </c>
      <c r="H48" s="11" t="s">
        <v>58</v>
      </c>
      <c r="I48" s="11" t="s">
        <v>110</v>
      </c>
      <c r="J48" s="11" t="s">
        <v>85</v>
      </c>
      <c r="K48" s="11" t="s">
        <v>53</v>
      </c>
      <c r="L48" s="11" t="s">
        <v>54</v>
      </c>
      <c r="M48" s="19" t="s">
        <v>139</v>
      </c>
      <c r="N48" s="11" t="s">
        <v>206</v>
      </c>
      <c r="O48" s="19" t="s">
        <v>35</v>
      </c>
      <c r="P48" s="11" t="s">
        <v>36</v>
      </c>
      <c r="Q48" s="20">
        <v>15</v>
      </c>
      <c r="R48" s="21" t="s">
        <v>207</v>
      </c>
      <c r="S48" s="21" t="s">
        <v>98</v>
      </c>
      <c r="T48" s="22"/>
      <c r="U48" s="15"/>
      <c r="V48" s="22" t="s">
        <v>174</v>
      </c>
      <c r="W48" s="22" t="s">
        <v>208</v>
      </c>
      <c r="X48" s="22">
        <v>15</v>
      </c>
      <c r="Y48" s="22">
        <v>12</v>
      </c>
      <c r="Z48" s="22" t="s">
        <v>176</v>
      </c>
      <c r="AA48" s="22"/>
    </row>
    <row r="49" s="3" customFormat="1" ht="28" spans="1:28">
      <c r="A49" s="11">
        <f>IF(H49="","",COUNTA($H$4:H49))</f>
        <v>46</v>
      </c>
      <c r="B49" s="11">
        <f t="shared" si="0"/>
        <v>8</v>
      </c>
      <c r="C49" s="11" t="s">
        <v>182</v>
      </c>
      <c r="D49" s="11" t="s">
        <v>204</v>
      </c>
      <c r="E49" s="11" t="s">
        <v>209</v>
      </c>
      <c r="F49" s="18" t="s">
        <v>209</v>
      </c>
      <c r="G49" s="11" t="s">
        <v>27</v>
      </c>
      <c r="H49" s="11" t="s">
        <v>58</v>
      </c>
      <c r="I49" s="11" t="s">
        <v>110</v>
      </c>
      <c r="J49" s="11" t="s">
        <v>30</v>
      </c>
      <c r="K49" s="11" t="s">
        <v>53</v>
      </c>
      <c r="L49" s="11" t="s">
        <v>54</v>
      </c>
      <c r="M49" s="19" t="s">
        <v>210</v>
      </c>
      <c r="N49" s="11" t="s">
        <v>211</v>
      </c>
      <c r="O49" s="19" t="s">
        <v>35</v>
      </c>
      <c r="P49" s="11" t="s">
        <v>36</v>
      </c>
      <c r="Q49" s="20">
        <v>30</v>
      </c>
      <c r="R49" s="21" t="s">
        <v>212</v>
      </c>
      <c r="S49" s="21" t="s">
        <v>107</v>
      </c>
      <c r="T49" s="22"/>
      <c r="U49" s="15"/>
      <c r="V49" s="22"/>
      <c r="W49" s="22"/>
      <c r="X49" s="22"/>
      <c r="Y49" s="22"/>
      <c r="Z49" s="22"/>
      <c r="AA49" s="22"/>
    </row>
    <row r="50" s="3" customFormat="1" ht="28" spans="1:28">
      <c r="A50" s="11">
        <f>IF(H50="","",COUNTA($H$4:H50))</f>
        <v>47</v>
      </c>
      <c r="B50" s="11">
        <f t="shared" si="0"/>
        <v>9</v>
      </c>
      <c r="C50" s="11" t="s">
        <v>182</v>
      </c>
      <c r="D50" s="11" t="s">
        <v>183</v>
      </c>
      <c r="E50" s="11" t="s">
        <v>213</v>
      </c>
      <c r="F50" s="18" t="s">
        <v>213</v>
      </c>
      <c r="G50" s="11" t="s">
        <v>27</v>
      </c>
      <c r="H50" s="11" t="s">
        <v>58</v>
      </c>
      <c r="I50" s="11" t="s">
        <v>110</v>
      </c>
      <c r="J50" s="11" t="s">
        <v>30</v>
      </c>
      <c r="K50" s="11" t="s">
        <v>53</v>
      </c>
      <c r="L50" s="11" t="s">
        <v>54</v>
      </c>
      <c r="M50" s="19" t="s">
        <v>33</v>
      </c>
      <c r="N50" s="11" t="s">
        <v>197</v>
      </c>
      <c r="O50" s="19" t="s">
        <v>35</v>
      </c>
      <c r="P50" s="11" t="s">
        <v>36</v>
      </c>
      <c r="Q50" s="20">
        <v>30</v>
      </c>
      <c r="R50" s="21" t="s">
        <v>214</v>
      </c>
      <c r="S50" s="21" t="s">
        <v>98</v>
      </c>
      <c r="T50" s="22"/>
      <c r="U50" s="15"/>
      <c r="V50" s="25" t="s">
        <v>99</v>
      </c>
      <c r="W50" s="25" t="s">
        <v>215</v>
      </c>
      <c r="X50" s="25">
        <v>30</v>
      </c>
      <c r="Y50" s="25">
        <v>15</v>
      </c>
      <c r="Z50" s="25" t="s">
        <v>118</v>
      </c>
      <c r="AA50" s="22"/>
    </row>
    <row r="51" s="3" customFormat="1" ht="28" spans="1:28">
      <c r="A51" s="11">
        <f>IF(H51="","",COUNTA($H$4:H51))</f>
        <v>48</v>
      </c>
      <c r="B51" s="11">
        <f t="shared" si="0"/>
        <v>10</v>
      </c>
      <c r="C51" s="11" t="s">
        <v>182</v>
      </c>
      <c r="D51" s="11" t="s">
        <v>183</v>
      </c>
      <c r="E51" s="11" t="s">
        <v>216</v>
      </c>
      <c r="F51" s="18" t="s">
        <v>216</v>
      </c>
      <c r="G51" s="11" t="s">
        <v>27</v>
      </c>
      <c r="H51" s="11" t="s">
        <v>58</v>
      </c>
      <c r="I51" s="11" t="s">
        <v>110</v>
      </c>
      <c r="J51" s="11" t="s">
        <v>30</v>
      </c>
      <c r="K51" s="11" t="s">
        <v>53</v>
      </c>
      <c r="L51" s="11" t="s">
        <v>54</v>
      </c>
      <c r="M51" s="19" t="s">
        <v>33</v>
      </c>
      <c r="N51" s="11" t="s">
        <v>197</v>
      </c>
      <c r="O51" s="19" t="s">
        <v>35</v>
      </c>
      <c r="P51" s="11" t="s">
        <v>36</v>
      </c>
      <c r="Q51" s="20">
        <v>30</v>
      </c>
      <c r="R51" s="21" t="s">
        <v>217</v>
      </c>
      <c r="S51" s="21" t="s">
        <v>98</v>
      </c>
      <c r="T51" s="22"/>
      <c r="U51" s="15"/>
      <c r="V51" s="22" t="s">
        <v>99</v>
      </c>
      <c r="W51" s="22" t="s">
        <v>218</v>
      </c>
      <c r="X51" s="22">
        <v>30</v>
      </c>
      <c r="Y51" s="22">
        <v>15</v>
      </c>
      <c r="Z51" s="22" t="s">
        <v>118</v>
      </c>
      <c r="AA51" s="22"/>
    </row>
    <row r="52" s="3" customFormat="1" ht="28" spans="1:28">
      <c r="A52" s="11">
        <f>IF(H52="","",COUNTA($H$4:H52))</f>
        <v>49</v>
      </c>
      <c r="B52" s="11">
        <f t="shared" si="0"/>
        <v>11</v>
      </c>
      <c r="C52" s="11" t="s">
        <v>182</v>
      </c>
      <c r="D52" s="11" t="s">
        <v>183</v>
      </c>
      <c r="E52" s="11" t="s">
        <v>219</v>
      </c>
      <c r="F52" s="18" t="s">
        <v>219</v>
      </c>
      <c r="G52" s="11" t="s">
        <v>27</v>
      </c>
      <c r="H52" s="11" t="s">
        <v>58</v>
      </c>
      <c r="I52" s="11" t="s">
        <v>110</v>
      </c>
      <c r="J52" s="11" t="s">
        <v>30</v>
      </c>
      <c r="K52" s="11" t="s">
        <v>53</v>
      </c>
      <c r="L52" s="11" t="s">
        <v>54</v>
      </c>
      <c r="M52" s="19" t="s">
        <v>33</v>
      </c>
      <c r="N52" s="11" t="s">
        <v>197</v>
      </c>
      <c r="O52" s="19" t="s">
        <v>35</v>
      </c>
      <c r="P52" s="11" t="s">
        <v>36</v>
      </c>
      <c r="Q52" s="20">
        <v>30</v>
      </c>
      <c r="R52" s="21" t="s">
        <v>220</v>
      </c>
      <c r="S52" s="21" t="s">
        <v>107</v>
      </c>
      <c r="T52" s="22"/>
      <c r="U52" s="15"/>
      <c r="V52" s="22"/>
      <c r="W52" s="22"/>
      <c r="X52" s="22"/>
      <c r="Y52" s="22"/>
      <c r="Z52" s="22"/>
      <c r="AA52" s="22"/>
    </row>
    <row r="53" s="3" customFormat="1" ht="28" spans="1:28">
      <c r="A53" s="11">
        <f>IF(H53="","",COUNTA($H$4:H53))</f>
        <v>50</v>
      </c>
      <c r="B53" s="11">
        <f t="shared" si="0"/>
        <v>1</v>
      </c>
      <c r="C53" s="11" t="s">
        <v>221</v>
      </c>
      <c r="D53" s="11" t="s">
        <v>222</v>
      </c>
      <c r="E53" s="11" t="s">
        <v>223</v>
      </c>
      <c r="F53" s="18" t="s">
        <v>223</v>
      </c>
      <c r="G53" s="11" t="s">
        <v>27</v>
      </c>
      <c r="H53" s="11" t="s">
        <v>28</v>
      </c>
      <c r="I53" s="11" t="s">
        <v>29</v>
      </c>
      <c r="J53" s="11" t="s">
        <v>30</v>
      </c>
      <c r="K53" s="11" t="s">
        <v>31</v>
      </c>
      <c r="L53" s="11" t="s">
        <v>32</v>
      </c>
      <c r="M53" s="19" t="s">
        <v>33</v>
      </c>
      <c r="N53" s="11" t="s">
        <v>34</v>
      </c>
      <c r="O53" s="19" t="s">
        <v>35</v>
      </c>
      <c r="P53" s="11" t="s">
        <v>36</v>
      </c>
      <c r="Q53" s="20">
        <v>45</v>
      </c>
      <c r="R53" s="21" t="s">
        <v>224</v>
      </c>
      <c r="S53" s="21" t="s">
        <v>38</v>
      </c>
      <c r="T53" s="22" t="s">
        <v>225</v>
      </c>
      <c r="U53" s="15">
        <v>46541</v>
      </c>
      <c r="V53" s="22"/>
      <c r="W53" s="22"/>
      <c r="X53" s="22"/>
      <c r="Y53" s="22"/>
      <c r="Z53" s="22"/>
      <c r="AA53" s="22"/>
    </row>
    <row r="54" s="3" customFormat="1" ht="28" spans="1:28">
      <c r="A54" s="11">
        <f>IF(H54="","",COUNTA($H$4:H54))</f>
        <v>51</v>
      </c>
      <c r="B54" s="11">
        <f t="shared" si="0"/>
        <v>2</v>
      </c>
      <c r="C54" s="11" t="s">
        <v>221</v>
      </c>
      <c r="D54" s="11" t="s">
        <v>226</v>
      </c>
      <c r="E54" s="11" t="s">
        <v>227</v>
      </c>
      <c r="F54" s="18" t="s">
        <v>227</v>
      </c>
      <c r="G54" s="11" t="s">
        <v>27</v>
      </c>
      <c r="H54" s="11" t="s">
        <v>28</v>
      </c>
      <c r="I54" s="11" t="s">
        <v>110</v>
      </c>
      <c r="J54" s="11" t="s">
        <v>30</v>
      </c>
      <c r="K54" s="11" t="s">
        <v>31</v>
      </c>
      <c r="L54" s="11" t="s">
        <v>32</v>
      </c>
      <c r="M54" s="19" t="s">
        <v>33</v>
      </c>
      <c r="N54" s="11" t="s">
        <v>34</v>
      </c>
      <c r="O54" s="19" t="s">
        <v>35</v>
      </c>
      <c r="P54" s="11" t="s">
        <v>36</v>
      </c>
      <c r="Q54" s="20">
        <v>30</v>
      </c>
      <c r="R54" s="21" t="s">
        <v>228</v>
      </c>
      <c r="S54" s="21" t="s">
        <v>38</v>
      </c>
      <c r="T54" s="22" t="s">
        <v>229</v>
      </c>
      <c r="U54" s="15">
        <v>46186</v>
      </c>
      <c r="V54" s="22"/>
      <c r="W54" s="22"/>
      <c r="X54" s="22"/>
      <c r="Y54" s="22"/>
      <c r="Z54" s="22"/>
      <c r="AA54" s="22"/>
    </row>
    <row r="55" s="3" customFormat="1" ht="28" spans="1:28">
      <c r="A55" s="11">
        <f>IF(H55="","",COUNTA($H$4:H55))</f>
        <v>52</v>
      </c>
      <c r="B55" s="11">
        <f t="shared" si="0"/>
        <v>3</v>
      </c>
      <c r="C55" s="11" t="s">
        <v>221</v>
      </c>
      <c r="D55" s="11" t="s">
        <v>226</v>
      </c>
      <c r="E55" s="11" t="s">
        <v>230</v>
      </c>
      <c r="F55" s="18" t="s">
        <v>230</v>
      </c>
      <c r="G55" s="11" t="s">
        <v>27</v>
      </c>
      <c r="H55" s="11" t="s">
        <v>28</v>
      </c>
      <c r="I55" s="11" t="s">
        <v>110</v>
      </c>
      <c r="J55" s="11" t="s">
        <v>30</v>
      </c>
      <c r="K55" s="11" t="s">
        <v>31</v>
      </c>
      <c r="L55" s="11" t="s">
        <v>32</v>
      </c>
      <c r="M55" s="19" t="s">
        <v>33</v>
      </c>
      <c r="N55" s="11" t="s">
        <v>34</v>
      </c>
      <c r="O55" s="19" t="s">
        <v>35</v>
      </c>
      <c r="P55" s="11" t="s">
        <v>36</v>
      </c>
      <c r="Q55" s="20">
        <v>45</v>
      </c>
      <c r="R55" s="21" t="s">
        <v>231</v>
      </c>
      <c r="S55" s="21" t="s">
        <v>38</v>
      </c>
      <c r="T55" s="22" t="s">
        <v>232</v>
      </c>
      <c r="U55" s="15">
        <v>46186</v>
      </c>
      <c r="V55" s="22"/>
      <c r="W55" s="22"/>
      <c r="X55" s="22"/>
      <c r="Y55" s="22"/>
      <c r="Z55" s="22"/>
      <c r="AA55" s="22"/>
    </row>
    <row r="56" s="3" customFormat="1" ht="28" spans="1:28">
      <c r="A56" s="11">
        <f>IF(H56="","",COUNTA($H$4:H56))</f>
        <v>53</v>
      </c>
      <c r="B56" s="11">
        <f t="shared" si="0"/>
        <v>4</v>
      </c>
      <c r="C56" s="11" t="s">
        <v>221</v>
      </c>
      <c r="D56" s="11" t="s">
        <v>226</v>
      </c>
      <c r="E56" s="11" t="s">
        <v>233</v>
      </c>
      <c r="F56" s="18" t="s">
        <v>233</v>
      </c>
      <c r="G56" s="11" t="s">
        <v>27</v>
      </c>
      <c r="H56" s="11" t="s">
        <v>28</v>
      </c>
      <c r="I56" s="11" t="s">
        <v>29</v>
      </c>
      <c r="J56" s="11" t="s">
        <v>30</v>
      </c>
      <c r="K56" s="11" t="s">
        <v>31</v>
      </c>
      <c r="L56" s="11" t="s">
        <v>32</v>
      </c>
      <c r="M56" s="19" t="s">
        <v>33</v>
      </c>
      <c r="N56" s="11" t="s">
        <v>34</v>
      </c>
      <c r="O56" s="19" t="s">
        <v>35</v>
      </c>
      <c r="P56" s="11" t="s">
        <v>70</v>
      </c>
      <c r="Q56" s="20">
        <v>45</v>
      </c>
      <c r="R56" s="31" t="s">
        <v>234</v>
      </c>
      <c r="S56" s="21" t="s">
        <v>38</v>
      </c>
      <c r="T56" s="22" t="s">
        <v>235</v>
      </c>
      <c r="U56" s="26">
        <v>46422</v>
      </c>
      <c r="V56" s="22"/>
      <c r="W56" s="22"/>
      <c r="X56" s="22"/>
      <c r="Y56" s="22"/>
      <c r="Z56" s="22"/>
      <c r="AA56" s="22"/>
    </row>
    <row r="57" s="3" customFormat="1" ht="28" spans="1:28">
      <c r="A57" s="11">
        <f>IF(H57="","",COUNTA($H$4:H57))</f>
        <v>54</v>
      </c>
      <c r="B57" s="11">
        <f t="shared" si="0"/>
        <v>5</v>
      </c>
      <c r="C57" s="11" t="s">
        <v>221</v>
      </c>
      <c r="D57" s="11" t="s">
        <v>222</v>
      </c>
      <c r="E57" s="11" t="s">
        <v>236</v>
      </c>
      <c r="F57" s="18" t="s">
        <v>236</v>
      </c>
      <c r="G57" s="11" t="s">
        <v>27</v>
      </c>
      <c r="H57" s="11" t="s">
        <v>28</v>
      </c>
      <c r="I57" s="11" t="s">
        <v>29</v>
      </c>
      <c r="J57" s="11" t="s">
        <v>52</v>
      </c>
      <c r="K57" s="11" t="s">
        <v>44</v>
      </c>
      <c r="L57" s="11" t="s">
        <v>32</v>
      </c>
      <c r="M57" s="19" t="s">
        <v>33</v>
      </c>
      <c r="N57" s="11" t="s">
        <v>34</v>
      </c>
      <c r="O57" s="19" t="s">
        <v>35</v>
      </c>
      <c r="P57" s="11" t="s">
        <v>36</v>
      </c>
      <c r="Q57" s="20">
        <v>15</v>
      </c>
      <c r="R57" s="21" t="s">
        <v>237</v>
      </c>
      <c r="S57" s="21" t="s">
        <v>38</v>
      </c>
      <c r="T57" s="22" t="s">
        <v>238</v>
      </c>
      <c r="U57" s="15">
        <v>46657</v>
      </c>
      <c r="V57" s="22"/>
      <c r="W57" s="22"/>
      <c r="X57" s="22"/>
      <c r="Y57" s="22"/>
      <c r="Z57" s="22"/>
      <c r="AA57" s="22"/>
    </row>
    <row r="58" s="3" customFormat="1" ht="28" spans="1:28">
      <c r="A58" s="11">
        <f>IF(H58="","",COUNTA($H$4:H58))</f>
        <v>55</v>
      </c>
      <c r="B58" s="11">
        <f t="shared" si="0"/>
        <v>6</v>
      </c>
      <c r="C58" s="11" t="s">
        <v>221</v>
      </c>
      <c r="D58" s="11" t="s">
        <v>222</v>
      </c>
      <c r="E58" s="11" t="s">
        <v>239</v>
      </c>
      <c r="F58" s="18" t="s">
        <v>239</v>
      </c>
      <c r="G58" s="11" t="s">
        <v>27</v>
      </c>
      <c r="H58" s="11" t="s">
        <v>58</v>
      </c>
      <c r="I58" s="11" t="s">
        <v>29</v>
      </c>
      <c r="J58" s="11" t="s">
        <v>30</v>
      </c>
      <c r="K58" s="11" t="s">
        <v>53</v>
      </c>
      <c r="L58" s="11" t="s">
        <v>32</v>
      </c>
      <c r="M58" s="19" t="s">
        <v>33</v>
      </c>
      <c r="N58" s="11" t="s">
        <v>34</v>
      </c>
      <c r="O58" s="19" t="s">
        <v>35</v>
      </c>
      <c r="P58" s="11" t="s">
        <v>36</v>
      </c>
      <c r="Q58" s="20">
        <v>30</v>
      </c>
      <c r="R58" s="31" t="s">
        <v>240</v>
      </c>
      <c r="S58" s="21" t="s">
        <v>98</v>
      </c>
      <c r="T58" s="22"/>
      <c r="U58" s="22"/>
      <c r="V58" s="22" t="s">
        <v>99</v>
      </c>
      <c r="W58" s="22" t="s">
        <v>241</v>
      </c>
      <c r="X58" s="22">
        <v>30</v>
      </c>
      <c r="Y58" s="22">
        <v>9</v>
      </c>
      <c r="Z58" s="22" t="s">
        <v>118</v>
      </c>
      <c r="AA58" s="22"/>
    </row>
    <row r="59" s="3" customFormat="1" ht="28" spans="1:28">
      <c r="A59" s="11">
        <f>IF(H59="","",COUNTA($H$4:H59))</f>
        <v>56</v>
      </c>
      <c r="B59" s="11">
        <f t="shared" si="0"/>
        <v>7</v>
      </c>
      <c r="C59" s="11" t="s">
        <v>221</v>
      </c>
      <c r="D59" s="11" t="s">
        <v>222</v>
      </c>
      <c r="E59" s="11" t="s">
        <v>242</v>
      </c>
      <c r="F59" s="18" t="s">
        <v>242</v>
      </c>
      <c r="G59" s="11" t="s">
        <v>27</v>
      </c>
      <c r="H59" s="11" t="s">
        <v>58</v>
      </c>
      <c r="I59" s="11" t="s">
        <v>29</v>
      </c>
      <c r="J59" s="11" t="s">
        <v>52</v>
      </c>
      <c r="K59" s="11" t="s">
        <v>53</v>
      </c>
      <c r="L59" s="11" t="s">
        <v>32</v>
      </c>
      <c r="M59" s="19" t="s">
        <v>33</v>
      </c>
      <c r="N59" s="11" t="s">
        <v>34</v>
      </c>
      <c r="O59" s="19" t="s">
        <v>35</v>
      </c>
      <c r="P59" s="11" t="s">
        <v>36</v>
      </c>
      <c r="Q59" s="20">
        <v>30</v>
      </c>
      <c r="R59" s="21" t="s">
        <v>243</v>
      </c>
      <c r="S59" s="32" t="s">
        <v>244</v>
      </c>
      <c r="T59" s="22" t="s">
        <v>245</v>
      </c>
      <c r="U59" s="22" t="s">
        <v>245</v>
      </c>
      <c r="V59" s="22" t="s">
        <v>99</v>
      </c>
      <c r="W59" s="22" t="s">
        <v>246</v>
      </c>
      <c r="X59" s="22">
        <v>30</v>
      </c>
      <c r="Y59" s="22">
        <v>15</v>
      </c>
      <c r="Z59" s="22" t="s">
        <v>118</v>
      </c>
      <c r="AA59" s="22"/>
      <c r="AB59" s="33"/>
    </row>
    <row r="60" s="3" customFormat="1" ht="28" spans="1:28">
      <c r="A60" s="11">
        <f>IF(H60="","",COUNTA($H$4:H60))</f>
        <v>57</v>
      </c>
      <c r="B60" s="11">
        <f t="shared" si="0"/>
        <v>8</v>
      </c>
      <c r="C60" s="11" t="s">
        <v>221</v>
      </c>
      <c r="D60" s="11" t="s">
        <v>222</v>
      </c>
      <c r="E60" s="11" t="s">
        <v>247</v>
      </c>
      <c r="F60" s="18" t="s">
        <v>247</v>
      </c>
      <c r="G60" s="11" t="s">
        <v>27</v>
      </c>
      <c r="H60" s="11" t="s">
        <v>58</v>
      </c>
      <c r="I60" s="11" t="s">
        <v>29</v>
      </c>
      <c r="J60" s="11" t="s">
        <v>30</v>
      </c>
      <c r="K60" s="11" t="s">
        <v>53</v>
      </c>
      <c r="L60" s="11" t="s">
        <v>32</v>
      </c>
      <c r="M60" s="19" t="s">
        <v>33</v>
      </c>
      <c r="N60" s="11" t="s">
        <v>34</v>
      </c>
      <c r="O60" s="19" t="s">
        <v>35</v>
      </c>
      <c r="P60" s="11" t="s">
        <v>36</v>
      </c>
      <c r="Q60" s="20">
        <v>30</v>
      </c>
      <c r="R60" s="21" t="s">
        <v>248</v>
      </c>
      <c r="S60" s="21" t="s">
        <v>98</v>
      </c>
      <c r="T60" s="22"/>
      <c r="U60" s="15"/>
      <c r="V60" s="22" t="s">
        <v>99</v>
      </c>
      <c r="W60" s="22" t="s">
        <v>249</v>
      </c>
      <c r="X60" s="22">
        <v>30</v>
      </c>
      <c r="Y60" s="22">
        <v>15</v>
      </c>
      <c r="Z60" s="22" t="s">
        <v>118</v>
      </c>
      <c r="AA60" s="22"/>
    </row>
    <row r="61" s="3" customFormat="1" ht="28" spans="1:28">
      <c r="A61" s="11">
        <f>IF(H61="","",COUNTA($H$4:H61))</f>
        <v>58</v>
      </c>
      <c r="B61" s="11">
        <f t="shared" si="0"/>
        <v>9</v>
      </c>
      <c r="C61" s="11" t="s">
        <v>221</v>
      </c>
      <c r="D61" s="11" t="s">
        <v>222</v>
      </c>
      <c r="E61" s="11" t="s">
        <v>250</v>
      </c>
      <c r="F61" s="18" t="s">
        <v>250</v>
      </c>
      <c r="G61" s="11" t="s">
        <v>27</v>
      </c>
      <c r="H61" s="11" t="s">
        <v>58</v>
      </c>
      <c r="I61" s="11" t="s">
        <v>29</v>
      </c>
      <c r="J61" s="11" t="s">
        <v>30</v>
      </c>
      <c r="K61" s="11" t="s">
        <v>53</v>
      </c>
      <c r="L61" s="11" t="s">
        <v>32</v>
      </c>
      <c r="M61" s="19" t="s">
        <v>33</v>
      </c>
      <c r="N61" s="11" t="s">
        <v>34</v>
      </c>
      <c r="O61" s="19" t="s">
        <v>35</v>
      </c>
      <c r="P61" s="11" t="s">
        <v>36</v>
      </c>
      <c r="Q61" s="20">
        <v>30</v>
      </c>
      <c r="R61" s="21" t="s">
        <v>251</v>
      </c>
      <c r="S61" s="21" t="s">
        <v>98</v>
      </c>
      <c r="T61" s="22"/>
      <c r="U61" s="15"/>
      <c r="V61" s="22" t="s">
        <v>99</v>
      </c>
      <c r="W61" s="22" t="s">
        <v>252</v>
      </c>
      <c r="X61" s="22">
        <v>30</v>
      </c>
      <c r="Y61" s="22">
        <v>15</v>
      </c>
      <c r="Z61" s="22" t="s">
        <v>118</v>
      </c>
      <c r="AA61" s="22"/>
    </row>
    <row r="62" s="3" customFormat="1" ht="28" spans="1:28">
      <c r="A62" s="11">
        <f>IF(H62="","",COUNTA($H$4:H62))</f>
        <v>59</v>
      </c>
      <c r="B62" s="11">
        <f t="shared" si="0"/>
        <v>1</v>
      </c>
      <c r="C62" s="11" t="s">
        <v>253</v>
      </c>
      <c r="D62" s="11" t="s">
        <v>254</v>
      </c>
      <c r="E62" s="11" t="s">
        <v>255</v>
      </c>
      <c r="F62" s="23" t="s">
        <v>255</v>
      </c>
      <c r="G62" s="11" t="s">
        <v>67</v>
      </c>
      <c r="H62" s="11" t="s">
        <v>28</v>
      </c>
      <c r="I62" s="11" t="s">
        <v>29</v>
      </c>
      <c r="J62" s="11" t="s">
        <v>68</v>
      </c>
      <c r="K62" s="11" t="s">
        <v>31</v>
      </c>
      <c r="L62" s="11" t="s">
        <v>32</v>
      </c>
      <c r="M62" s="19" t="s">
        <v>33</v>
      </c>
      <c r="N62" s="11" t="s">
        <v>69</v>
      </c>
      <c r="O62" s="19" t="s">
        <v>35</v>
      </c>
      <c r="P62" s="11" t="s">
        <v>36</v>
      </c>
      <c r="Q62" s="20">
        <v>120</v>
      </c>
      <c r="R62" s="21" t="s">
        <v>256</v>
      </c>
      <c r="S62" s="21" t="s">
        <v>38</v>
      </c>
      <c r="T62" s="22" t="s">
        <v>257</v>
      </c>
      <c r="U62" s="26">
        <v>46828</v>
      </c>
      <c r="V62" s="22"/>
      <c r="W62" s="22"/>
      <c r="X62" s="22"/>
      <c r="Y62" s="22"/>
      <c r="Z62" s="22"/>
      <c r="AA62" s="22"/>
    </row>
    <row r="63" s="3" customFormat="1" ht="28" spans="1:28">
      <c r="A63" s="11">
        <f>IF(H63="","",COUNTA($H$4:H63))</f>
        <v>60</v>
      </c>
      <c r="B63" s="11">
        <f t="shared" si="0"/>
        <v>2</v>
      </c>
      <c r="C63" s="11" t="s">
        <v>253</v>
      </c>
      <c r="D63" s="11" t="s">
        <v>254</v>
      </c>
      <c r="E63" s="11" t="s">
        <v>258</v>
      </c>
      <c r="F63" s="18" t="s">
        <v>258</v>
      </c>
      <c r="G63" s="11" t="s">
        <v>27</v>
      </c>
      <c r="H63" s="11" t="s">
        <v>28</v>
      </c>
      <c r="I63" s="11" t="s">
        <v>29</v>
      </c>
      <c r="J63" s="11" t="s">
        <v>30</v>
      </c>
      <c r="K63" s="11" t="s">
        <v>31</v>
      </c>
      <c r="L63" s="11" t="s">
        <v>54</v>
      </c>
      <c r="M63" s="19" t="s">
        <v>210</v>
      </c>
      <c r="N63" s="11" t="s">
        <v>34</v>
      </c>
      <c r="O63" s="19" t="s">
        <v>35</v>
      </c>
      <c r="P63" s="11" t="s">
        <v>36</v>
      </c>
      <c r="Q63" s="20">
        <v>45</v>
      </c>
      <c r="R63" s="31" t="s">
        <v>259</v>
      </c>
      <c r="S63" s="21" t="s">
        <v>38</v>
      </c>
      <c r="T63" s="22" t="s">
        <v>260</v>
      </c>
      <c r="U63" s="15">
        <v>46186</v>
      </c>
      <c r="V63" s="22"/>
      <c r="W63" s="22"/>
      <c r="X63" s="22"/>
      <c r="Y63" s="22"/>
      <c r="Z63" s="22"/>
      <c r="AA63" s="22"/>
    </row>
    <row r="64" s="3" customFormat="1" ht="28" spans="1:28">
      <c r="A64" s="11">
        <f>IF(H64="","",COUNTA($H$4:H64))</f>
        <v>61</v>
      </c>
      <c r="B64" s="11">
        <f t="shared" si="0"/>
        <v>3</v>
      </c>
      <c r="C64" s="11" t="s">
        <v>253</v>
      </c>
      <c r="D64" s="11" t="s">
        <v>254</v>
      </c>
      <c r="E64" s="11" t="s">
        <v>261</v>
      </c>
      <c r="F64" s="18" t="s">
        <v>261</v>
      </c>
      <c r="G64" s="11" t="s">
        <v>27</v>
      </c>
      <c r="H64" s="11" t="s">
        <v>28</v>
      </c>
      <c r="I64" s="11" t="s">
        <v>29</v>
      </c>
      <c r="J64" s="11" t="s">
        <v>30</v>
      </c>
      <c r="K64" s="24" t="s">
        <v>31</v>
      </c>
      <c r="L64" s="11" t="s">
        <v>32</v>
      </c>
      <c r="M64" s="19" t="s">
        <v>210</v>
      </c>
      <c r="N64" s="11" t="s">
        <v>34</v>
      </c>
      <c r="O64" s="19" t="s">
        <v>35</v>
      </c>
      <c r="P64" s="11" t="s">
        <v>36</v>
      </c>
      <c r="Q64" s="20">
        <v>30</v>
      </c>
      <c r="R64" s="31" t="s">
        <v>262</v>
      </c>
      <c r="S64" s="21" t="s">
        <v>38</v>
      </c>
      <c r="T64" s="22" t="s">
        <v>263</v>
      </c>
      <c r="U64" s="15">
        <v>46308</v>
      </c>
      <c r="V64" s="22"/>
      <c r="W64" s="22"/>
      <c r="X64" s="22"/>
      <c r="Y64" s="22"/>
      <c r="Z64" s="22"/>
      <c r="AA64" s="22"/>
    </row>
    <row r="65" s="3" customFormat="1" ht="28" spans="1:28">
      <c r="A65" s="11">
        <f>IF(H65="","",COUNTA($H$4:H65))</f>
        <v>62</v>
      </c>
      <c r="B65" s="11">
        <f t="shared" si="0"/>
        <v>4</v>
      </c>
      <c r="C65" s="11" t="s">
        <v>253</v>
      </c>
      <c r="D65" s="11" t="s">
        <v>254</v>
      </c>
      <c r="E65" s="11" t="s">
        <v>264</v>
      </c>
      <c r="F65" s="18" t="s">
        <v>264</v>
      </c>
      <c r="G65" s="11" t="s">
        <v>27</v>
      </c>
      <c r="H65" s="11" t="s">
        <v>28</v>
      </c>
      <c r="I65" s="11" t="s">
        <v>29</v>
      </c>
      <c r="J65" s="11" t="s">
        <v>52</v>
      </c>
      <c r="K65" s="11" t="s">
        <v>44</v>
      </c>
      <c r="L65" s="11" t="s">
        <v>32</v>
      </c>
      <c r="M65" s="19" t="s">
        <v>210</v>
      </c>
      <c r="N65" s="11" t="s">
        <v>120</v>
      </c>
      <c r="O65" s="19" t="s">
        <v>35</v>
      </c>
      <c r="P65" s="11" t="s">
        <v>36</v>
      </c>
      <c r="Q65" s="20">
        <v>15</v>
      </c>
      <c r="R65" s="31" t="s">
        <v>265</v>
      </c>
      <c r="S65" s="21" t="s">
        <v>38</v>
      </c>
      <c r="T65" s="22" t="s">
        <v>266</v>
      </c>
      <c r="U65" s="26">
        <v>46979</v>
      </c>
      <c r="V65" s="22"/>
      <c r="W65" s="22"/>
      <c r="X65" s="22"/>
      <c r="Y65" s="22"/>
      <c r="Z65" s="22"/>
      <c r="AA65" s="22"/>
    </row>
    <row r="66" s="3" customFormat="1" ht="28" spans="1:28">
      <c r="A66" s="11">
        <f>IF(H66="","",COUNTA($H$4:H66))</f>
        <v>63</v>
      </c>
      <c r="B66" s="11">
        <f t="shared" si="0"/>
        <v>5</v>
      </c>
      <c r="C66" s="11" t="s">
        <v>253</v>
      </c>
      <c r="D66" s="11" t="s">
        <v>254</v>
      </c>
      <c r="E66" s="11" t="s">
        <v>267</v>
      </c>
      <c r="F66" s="18" t="s">
        <v>267</v>
      </c>
      <c r="G66" s="11" t="s">
        <v>27</v>
      </c>
      <c r="H66" s="11" t="s">
        <v>28</v>
      </c>
      <c r="I66" s="11" t="s">
        <v>29</v>
      </c>
      <c r="J66" s="11" t="s">
        <v>52</v>
      </c>
      <c r="K66" s="11" t="s">
        <v>44</v>
      </c>
      <c r="L66" s="11" t="s">
        <v>32</v>
      </c>
      <c r="M66" s="19" t="s">
        <v>210</v>
      </c>
      <c r="N66" s="11" t="s">
        <v>34</v>
      </c>
      <c r="O66" s="19" t="s">
        <v>35</v>
      </c>
      <c r="P66" s="11" t="s">
        <v>70</v>
      </c>
      <c r="Q66" s="20">
        <v>15</v>
      </c>
      <c r="R66" s="31" t="s">
        <v>268</v>
      </c>
      <c r="S66" s="21" t="s">
        <v>38</v>
      </c>
      <c r="T66" s="22" t="s">
        <v>269</v>
      </c>
      <c r="U66" s="15">
        <v>46249</v>
      </c>
      <c r="V66" s="22"/>
      <c r="W66" s="22"/>
      <c r="X66" s="22"/>
      <c r="Y66" s="22"/>
      <c r="Z66" s="22"/>
      <c r="AA66" s="22"/>
    </row>
    <row r="67" s="3" customFormat="1" ht="28" spans="1:28">
      <c r="A67" s="11">
        <f>IF(H67="","",COUNTA($H$4:H67))</f>
        <v>64</v>
      </c>
      <c r="B67" s="11">
        <f t="shared" si="0"/>
        <v>6</v>
      </c>
      <c r="C67" s="11" t="s">
        <v>253</v>
      </c>
      <c r="D67" s="11" t="s">
        <v>254</v>
      </c>
      <c r="E67" s="11" t="s">
        <v>270</v>
      </c>
      <c r="F67" s="18" t="s">
        <v>270</v>
      </c>
      <c r="G67" s="11" t="s">
        <v>27</v>
      </c>
      <c r="H67" s="11" t="s">
        <v>28</v>
      </c>
      <c r="I67" s="11" t="s">
        <v>29</v>
      </c>
      <c r="J67" s="11" t="s">
        <v>52</v>
      </c>
      <c r="K67" s="11" t="s">
        <v>31</v>
      </c>
      <c r="L67" s="11" t="s">
        <v>32</v>
      </c>
      <c r="M67" s="19" t="s">
        <v>210</v>
      </c>
      <c r="N67" s="11" t="s">
        <v>34</v>
      </c>
      <c r="O67" s="19" t="s">
        <v>35</v>
      </c>
      <c r="P67" s="11" t="s">
        <v>70</v>
      </c>
      <c r="Q67" s="20">
        <v>21</v>
      </c>
      <c r="R67" s="21" t="s">
        <v>271</v>
      </c>
      <c r="S67" s="21" t="s">
        <v>38</v>
      </c>
      <c r="T67" s="22" t="s">
        <v>272</v>
      </c>
      <c r="U67" s="15">
        <v>46382</v>
      </c>
      <c r="V67" s="22"/>
      <c r="W67" s="22"/>
      <c r="X67" s="22"/>
      <c r="Y67" s="22"/>
      <c r="Z67" s="22"/>
      <c r="AA67" s="22"/>
    </row>
    <row r="68" s="3" customFormat="1" ht="28" spans="1:28">
      <c r="A68" s="11">
        <f>IF(H68="","",COUNTA($H$4:H68))</f>
        <v>65</v>
      </c>
      <c r="B68" s="11">
        <f t="shared" si="0"/>
        <v>7</v>
      </c>
      <c r="C68" s="11" t="s">
        <v>253</v>
      </c>
      <c r="D68" s="11" t="s">
        <v>254</v>
      </c>
      <c r="E68" s="11" t="s">
        <v>273</v>
      </c>
      <c r="F68" s="18" t="s">
        <v>273</v>
      </c>
      <c r="G68" s="11" t="s">
        <v>27</v>
      </c>
      <c r="H68" s="11" t="s">
        <v>28</v>
      </c>
      <c r="I68" s="11" t="s">
        <v>29</v>
      </c>
      <c r="J68" s="11" t="s">
        <v>30</v>
      </c>
      <c r="K68" s="11" t="s">
        <v>31</v>
      </c>
      <c r="L68" s="11" t="s">
        <v>32</v>
      </c>
      <c r="M68" s="19" t="s">
        <v>210</v>
      </c>
      <c r="N68" s="11" t="s">
        <v>34</v>
      </c>
      <c r="O68" s="19" t="s">
        <v>35</v>
      </c>
      <c r="P68" s="11" t="s">
        <v>70</v>
      </c>
      <c r="Q68" s="20">
        <v>21</v>
      </c>
      <c r="R68" s="31" t="s">
        <v>274</v>
      </c>
      <c r="S68" s="21" t="s">
        <v>38</v>
      </c>
      <c r="T68" s="22" t="s">
        <v>275</v>
      </c>
      <c r="U68" s="15">
        <v>46797</v>
      </c>
      <c r="V68" s="22"/>
      <c r="W68" s="22"/>
      <c r="X68" s="22"/>
      <c r="Y68" s="22"/>
      <c r="Z68" s="22"/>
      <c r="AA68" s="22"/>
    </row>
    <row r="69" s="3" customFormat="1" ht="28" spans="1:28">
      <c r="A69" s="11">
        <f>IF(H69="","",COUNTA($H$4:H69))</f>
        <v>66</v>
      </c>
      <c r="B69" s="11">
        <f t="shared" ref="B69:B132" si="1">IF(C69=C68,B68+1,1)</f>
        <v>8</v>
      </c>
      <c r="C69" s="11" t="s">
        <v>253</v>
      </c>
      <c r="D69" s="11" t="s">
        <v>276</v>
      </c>
      <c r="E69" s="11" t="s">
        <v>277</v>
      </c>
      <c r="F69" s="18" t="s">
        <v>277</v>
      </c>
      <c r="G69" s="11" t="s">
        <v>27</v>
      </c>
      <c r="H69" s="11" t="s">
        <v>28</v>
      </c>
      <c r="I69" s="11" t="s">
        <v>29</v>
      </c>
      <c r="J69" s="11" t="s">
        <v>30</v>
      </c>
      <c r="K69" s="11" t="s">
        <v>31</v>
      </c>
      <c r="L69" s="11" t="s">
        <v>32</v>
      </c>
      <c r="M69" s="19" t="s">
        <v>33</v>
      </c>
      <c r="N69" s="11" t="s">
        <v>34</v>
      </c>
      <c r="O69" s="19" t="s">
        <v>35</v>
      </c>
      <c r="P69" s="11" t="s">
        <v>70</v>
      </c>
      <c r="Q69" s="20">
        <v>21</v>
      </c>
      <c r="R69" s="21" t="s">
        <v>278</v>
      </c>
      <c r="S69" s="21" t="s">
        <v>38</v>
      </c>
      <c r="T69" s="22" t="s">
        <v>279</v>
      </c>
      <c r="U69" s="26">
        <v>47048</v>
      </c>
      <c r="V69" s="22"/>
      <c r="W69" s="22"/>
      <c r="X69" s="22"/>
      <c r="Y69" s="22"/>
      <c r="Z69" s="22"/>
      <c r="AA69" s="22"/>
    </row>
    <row r="70" s="3" customFormat="1" ht="56" spans="1:28">
      <c r="A70" s="11">
        <f>IF(H70="","",COUNTA($H$4:H70))</f>
        <v>67</v>
      </c>
      <c r="B70" s="11">
        <f t="shared" si="1"/>
        <v>9</v>
      </c>
      <c r="C70" s="11" t="s">
        <v>253</v>
      </c>
      <c r="D70" s="11" t="s">
        <v>276</v>
      </c>
      <c r="E70" s="11" t="s">
        <v>280</v>
      </c>
      <c r="F70" s="18" t="s">
        <v>280</v>
      </c>
      <c r="G70" s="11" t="s">
        <v>27</v>
      </c>
      <c r="H70" s="11" t="s">
        <v>58</v>
      </c>
      <c r="I70" s="11" t="s">
        <v>29</v>
      </c>
      <c r="J70" s="11" t="s">
        <v>30</v>
      </c>
      <c r="K70" s="11" t="s">
        <v>53</v>
      </c>
      <c r="L70" s="11" t="s">
        <v>32</v>
      </c>
      <c r="M70" s="19" t="s">
        <v>33</v>
      </c>
      <c r="N70" s="11" t="s">
        <v>281</v>
      </c>
      <c r="O70" s="19" t="s">
        <v>35</v>
      </c>
      <c r="P70" s="11" t="s">
        <v>36</v>
      </c>
      <c r="Q70" s="20">
        <v>60</v>
      </c>
      <c r="R70" s="21" t="s">
        <v>282</v>
      </c>
      <c r="S70" s="21" t="s">
        <v>98</v>
      </c>
      <c r="T70" s="22"/>
      <c r="U70" s="15"/>
      <c r="V70" s="22" t="s">
        <v>169</v>
      </c>
      <c r="W70" s="22" t="s">
        <v>283</v>
      </c>
      <c r="X70" s="22">
        <v>60</v>
      </c>
      <c r="Y70" s="22">
        <v>60</v>
      </c>
      <c r="Z70" s="22" t="s">
        <v>171</v>
      </c>
      <c r="AA70" s="22"/>
    </row>
    <row r="71" s="3" customFormat="1" ht="28" spans="1:28">
      <c r="A71" s="11">
        <f>IF(H71="","",COUNTA($H$4:H71))</f>
        <v>68</v>
      </c>
      <c r="B71" s="11">
        <f t="shared" si="1"/>
        <v>10</v>
      </c>
      <c r="C71" s="11" t="s">
        <v>253</v>
      </c>
      <c r="D71" s="11" t="s">
        <v>284</v>
      </c>
      <c r="E71" s="11" t="s">
        <v>285</v>
      </c>
      <c r="F71" s="18" t="s">
        <v>285</v>
      </c>
      <c r="G71" s="11" t="s">
        <v>27</v>
      </c>
      <c r="H71" s="11" t="s">
        <v>28</v>
      </c>
      <c r="I71" s="11" t="s">
        <v>29</v>
      </c>
      <c r="J71" s="11" t="s">
        <v>30</v>
      </c>
      <c r="K71" s="11" t="s">
        <v>31</v>
      </c>
      <c r="L71" s="11" t="s">
        <v>32</v>
      </c>
      <c r="M71" s="19" t="s">
        <v>33</v>
      </c>
      <c r="N71" s="11" t="s">
        <v>34</v>
      </c>
      <c r="O71" s="19" t="s">
        <v>35</v>
      </c>
      <c r="P71" s="11" t="s">
        <v>70</v>
      </c>
      <c r="Q71" s="20">
        <v>30</v>
      </c>
      <c r="R71" s="21" t="s">
        <v>286</v>
      </c>
      <c r="S71" s="21" t="s">
        <v>38</v>
      </c>
      <c r="T71" s="22" t="s">
        <v>287</v>
      </c>
      <c r="U71" s="15">
        <v>46603</v>
      </c>
      <c r="V71" s="22"/>
      <c r="W71" s="22"/>
      <c r="X71" s="22"/>
      <c r="Y71" s="22"/>
      <c r="Z71" s="22"/>
      <c r="AA71" s="22"/>
    </row>
    <row r="72" s="3" customFormat="1" ht="28" spans="1:28">
      <c r="A72" s="11">
        <f>IF(H72="","",COUNTA($H$4:H72))</f>
        <v>69</v>
      </c>
      <c r="B72" s="11">
        <f t="shared" si="1"/>
        <v>11</v>
      </c>
      <c r="C72" s="11" t="s">
        <v>253</v>
      </c>
      <c r="D72" s="11" t="s">
        <v>276</v>
      </c>
      <c r="E72" s="11" t="s">
        <v>288</v>
      </c>
      <c r="F72" s="18" t="s">
        <v>288</v>
      </c>
      <c r="G72" s="11" t="s">
        <v>27</v>
      </c>
      <c r="H72" s="11" t="s">
        <v>28</v>
      </c>
      <c r="I72" s="11" t="s">
        <v>29</v>
      </c>
      <c r="J72" s="11" t="s">
        <v>30</v>
      </c>
      <c r="K72" s="11" t="s">
        <v>53</v>
      </c>
      <c r="L72" s="11" t="s">
        <v>32</v>
      </c>
      <c r="M72" s="19" t="s">
        <v>210</v>
      </c>
      <c r="N72" s="11" t="s">
        <v>34</v>
      </c>
      <c r="O72" s="19" t="s">
        <v>35</v>
      </c>
      <c r="P72" s="11" t="s">
        <v>70</v>
      </c>
      <c r="Q72" s="20">
        <v>30</v>
      </c>
      <c r="R72" s="21" t="s">
        <v>289</v>
      </c>
      <c r="S72" s="32" t="s">
        <v>244</v>
      </c>
      <c r="T72" s="25" t="s">
        <v>290</v>
      </c>
      <c r="U72" s="26">
        <v>47088</v>
      </c>
      <c r="V72" s="22"/>
      <c r="W72" s="22"/>
      <c r="X72" s="22"/>
      <c r="Y72" s="22"/>
      <c r="Z72" s="22"/>
      <c r="AA72" s="22"/>
      <c r="AB72" s="33" t="s">
        <v>291</v>
      </c>
    </row>
    <row r="73" s="3" customFormat="1" ht="28" spans="1:28">
      <c r="A73" s="11">
        <f>IF(H73="","",COUNTA($H$4:H73))</f>
        <v>70</v>
      </c>
      <c r="B73" s="11">
        <f t="shared" si="1"/>
        <v>12</v>
      </c>
      <c r="C73" s="11" t="s">
        <v>253</v>
      </c>
      <c r="D73" s="11" t="s">
        <v>276</v>
      </c>
      <c r="E73" s="11" t="s">
        <v>292</v>
      </c>
      <c r="F73" s="18" t="s">
        <v>292</v>
      </c>
      <c r="G73" s="11" t="s">
        <v>27</v>
      </c>
      <c r="H73" s="11" t="s">
        <v>58</v>
      </c>
      <c r="I73" s="11" t="s">
        <v>29</v>
      </c>
      <c r="J73" s="11" t="s">
        <v>30</v>
      </c>
      <c r="K73" s="11" t="s">
        <v>53</v>
      </c>
      <c r="L73" s="11" t="s">
        <v>32</v>
      </c>
      <c r="M73" s="19" t="s">
        <v>33</v>
      </c>
      <c r="N73" s="11" t="s">
        <v>34</v>
      </c>
      <c r="O73" s="19" t="s">
        <v>35</v>
      </c>
      <c r="P73" s="11" t="s">
        <v>36</v>
      </c>
      <c r="Q73" s="20">
        <v>30</v>
      </c>
      <c r="R73" s="21" t="s">
        <v>293</v>
      </c>
      <c r="S73" s="32" t="s">
        <v>244</v>
      </c>
      <c r="T73" s="22"/>
      <c r="U73" s="15"/>
      <c r="V73" s="22" t="s">
        <v>99</v>
      </c>
      <c r="W73" s="22" t="s">
        <v>294</v>
      </c>
      <c r="X73" s="22">
        <v>30</v>
      </c>
      <c r="Y73" s="22">
        <v>15</v>
      </c>
      <c r="Z73" s="22" t="s">
        <v>118</v>
      </c>
      <c r="AA73" s="22" t="s">
        <v>295</v>
      </c>
    </row>
    <row r="74" s="3" customFormat="1" ht="28" spans="1:28">
      <c r="A74" s="11">
        <f>IF(H74="","",COUNTA($H$4:H74))</f>
        <v>71</v>
      </c>
      <c r="B74" s="11">
        <f t="shared" si="1"/>
        <v>13</v>
      </c>
      <c r="C74" s="11" t="s">
        <v>253</v>
      </c>
      <c r="D74" s="11" t="s">
        <v>254</v>
      </c>
      <c r="E74" s="11" t="s">
        <v>296</v>
      </c>
      <c r="F74" s="18" t="s">
        <v>296</v>
      </c>
      <c r="G74" s="11" t="s">
        <v>27</v>
      </c>
      <c r="H74" s="11" t="s">
        <v>58</v>
      </c>
      <c r="I74" s="11" t="s">
        <v>29</v>
      </c>
      <c r="J74" s="11" t="s">
        <v>30</v>
      </c>
      <c r="K74" s="11" t="s">
        <v>53</v>
      </c>
      <c r="L74" s="11" t="s">
        <v>32</v>
      </c>
      <c r="M74" s="19" t="s">
        <v>210</v>
      </c>
      <c r="N74" s="11" t="s">
        <v>120</v>
      </c>
      <c r="O74" s="19" t="s">
        <v>35</v>
      </c>
      <c r="P74" s="11" t="s">
        <v>70</v>
      </c>
      <c r="Q74" s="20">
        <v>30</v>
      </c>
      <c r="R74" s="21" t="s">
        <v>297</v>
      </c>
      <c r="S74" s="21" t="s">
        <v>98</v>
      </c>
      <c r="T74" s="22"/>
      <c r="U74" s="15"/>
      <c r="V74" s="22" t="s">
        <v>99</v>
      </c>
      <c r="W74" s="22" t="s">
        <v>298</v>
      </c>
      <c r="X74" s="22">
        <v>30</v>
      </c>
      <c r="Y74" s="22">
        <v>21</v>
      </c>
      <c r="Z74" s="22" t="s">
        <v>118</v>
      </c>
      <c r="AA74" s="22"/>
    </row>
    <row r="75" s="3" customFormat="1" ht="28" spans="1:28">
      <c r="A75" s="11">
        <f>IF(H75="","",COUNTA($H$4:H75))</f>
        <v>72</v>
      </c>
      <c r="B75" s="11">
        <f t="shared" si="1"/>
        <v>14</v>
      </c>
      <c r="C75" s="11" t="s">
        <v>253</v>
      </c>
      <c r="D75" s="11" t="s">
        <v>284</v>
      </c>
      <c r="E75" s="11" t="s">
        <v>299</v>
      </c>
      <c r="F75" s="18" t="s">
        <v>299</v>
      </c>
      <c r="G75" s="11" t="s">
        <v>27</v>
      </c>
      <c r="H75" s="11" t="s">
        <v>28</v>
      </c>
      <c r="I75" s="11" t="s">
        <v>29</v>
      </c>
      <c r="J75" s="11" t="s">
        <v>30</v>
      </c>
      <c r="K75" s="11" t="s">
        <v>31</v>
      </c>
      <c r="L75" s="11" t="s">
        <v>32</v>
      </c>
      <c r="M75" s="19" t="s">
        <v>33</v>
      </c>
      <c r="N75" s="11" t="s">
        <v>34</v>
      </c>
      <c r="O75" s="19" t="s">
        <v>35</v>
      </c>
      <c r="P75" s="11" t="s">
        <v>36</v>
      </c>
      <c r="Q75" s="20">
        <v>30</v>
      </c>
      <c r="R75" s="21" t="s">
        <v>300</v>
      </c>
      <c r="S75" s="21" t="s">
        <v>38</v>
      </c>
      <c r="T75" s="22" t="s">
        <v>301</v>
      </c>
      <c r="U75" s="26">
        <v>46139</v>
      </c>
      <c r="V75" s="22"/>
      <c r="W75" s="22"/>
      <c r="X75" s="22"/>
      <c r="Y75" s="22"/>
      <c r="Z75" s="22"/>
      <c r="AA75" s="22"/>
    </row>
    <row r="76" s="3" customFormat="1" ht="28" spans="1:28">
      <c r="A76" s="11">
        <f>IF(H76="","",COUNTA($H$4:H76))</f>
        <v>73</v>
      </c>
      <c r="B76" s="11">
        <f t="shared" si="1"/>
        <v>15</v>
      </c>
      <c r="C76" s="11" t="s">
        <v>253</v>
      </c>
      <c r="D76" s="11" t="s">
        <v>284</v>
      </c>
      <c r="E76" s="11" t="s">
        <v>302</v>
      </c>
      <c r="F76" s="18" t="s">
        <v>302</v>
      </c>
      <c r="G76" s="11" t="s">
        <v>27</v>
      </c>
      <c r="H76" s="11" t="s">
        <v>58</v>
      </c>
      <c r="I76" s="11" t="s">
        <v>29</v>
      </c>
      <c r="J76" s="11" t="s">
        <v>30</v>
      </c>
      <c r="K76" s="11" t="s">
        <v>53</v>
      </c>
      <c r="L76" s="11" t="s">
        <v>32</v>
      </c>
      <c r="M76" s="19" t="s">
        <v>33</v>
      </c>
      <c r="N76" s="11" t="s">
        <v>34</v>
      </c>
      <c r="O76" s="19" t="s">
        <v>35</v>
      </c>
      <c r="P76" s="11" t="s">
        <v>36</v>
      </c>
      <c r="Q76" s="20">
        <v>30</v>
      </c>
      <c r="R76" s="21" t="s">
        <v>303</v>
      </c>
      <c r="S76" s="21" t="s">
        <v>98</v>
      </c>
      <c r="T76" s="22"/>
      <c r="U76" s="15"/>
      <c r="V76" s="22" t="s">
        <v>99</v>
      </c>
      <c r="W76" s="22" t="s">
        <v>304</v>
      </c>
      <c r="X76" s="22">
        <v>30</v>
      </c>
      <c r="Y76" s="22">
        <v>15</v>
      </c>
      <c r="Z76" s="22" t="s">
        <v>118</v>
      </c>
      <c r="AA76" s="22"/>
    </row>
    <row r="77" s="3" customFormat="1" ht="28" spans="1:28">
      <c r="A77" s="11">
        <f>IF(H77="","",COUNTA($H$4:H77))</f>
        <v>74</v>
      </c>
      <c r="B77" s="11">
        <f t="shared" si="1"/>
        <v>1</v>
      </c>
      <c r="C77" s="11" t="s">
        <v>305</v>
      </c>
      <c r="D77" s="11" t="s">
        <v>306</v>
      </c>
      <c r="E77" s="11" t="s">
        <v>307</v>
      </c>
      <c r="F77" s="23" t="s">
        <v>307</v>
      </c>
      <c r="G77" s="11" t="s">
        <v>67</v>
      </c>
      <c r="H77" s="11" t="s">
        <v>28</v>
      </c>
      <c r="I77" s="11" t="s">
        <v>89</v>
      </c>
      <c r="J77" s="11" t="s">
        <v>68</v>
      </c>
      <c r="K77" s="11" t="s">
        <v>31</v>
      </c>
      <c r="L77" s="11" t="s">
        <v>138</v>
      </c>
      <c r="M77" s="19" t="s">
        <v>33</v>
      </c>
      <c r="N77" s="11" t="s">
        <v>34</v>
      </c>
      <c r="O77" s="19" t="s">
        <v>48</v>
      </c>
      <c r="P77" s="11" t="s">
        <v>36</v>
      </c>
      <c r="Q77" s="20">
        <v>90</v>
      </c>
      <c r="R77" s="21" t="s">
        <v>308</v>
      </c>
      <c r="S77" s="21" t="s">
        <v>38</v>
      </c>
      <c r="T77" s="22" t="s">
        <v>309</v>
      </c>
      <c r="U77" s="15">
        <v>46985</v>
      </c>
      <c r="V77" s="22"/>
      <c r="W77" s="22"/>
      <c r="X77" s="22"/>
      <c r="Y77" s="22"/>
      <c r="Z77" s="22"/>
      <c r="AA77" s="22"/>
    </row>
    <row r="78" s="3" customFormat="1" ht="28" spans="1:28">
      <c r="A78" s="11">
        <f>IF(H78="","",COUNTA($H$4:H78))</f>
        <v>75</v>
      </c>
      <c r="B78" s="11">
        <f t="shared" si="1"/>
        <v>2</v>
      </c>
      <c r="C78" s="11" t="s">
        <v>305</v>
      </c>
      <c r="D78" s="11" t="s">
        <v>310</v>
      </c>
      <c r="E78" s="11" t="s">
        <v>311</v>
      </c>
      <c r="F78" s="18" t="s">
        <v>311</v>
      </c>
      <c r="G78" s="11" t="s">
        <v>109</v>
      </c>
      <c r="H78" s="11" t="s">
        <v>28</v>
      </c>
      <c r="I78" s="11" t="s">
        <v>89</v>
      </c>
      <c r="J78" s="11" t="s">
        <v>52</v>
      </c>
      <c r="K78" s="11" t="s">
        <v>53</v>
      </c>
      <c r="L78" s="11" t="s">
        <v>138</v>
      </c>
      <c r="M78" s="19" t="s">
        <v>33</v>
      </c>
      <c r="N78" s="11" t="s">
        <v>34</v>
      </c>
      <c r="O78" s="19" t="s">
        <v>312</v>
      </c>
      <c r="P78" s="11" t="s">
        <v>36</v>
      </c>
      <c r="Q78" s="20">
        <v>70</v>
      </c>
      <c r="R78" s="21" t="s">
        <v>313</v>
      </c>
      <c r="S78" s="21" t="s">
        <v>56</v>
      </c>
      <c r="T78" s="22"/>
      <c r="U78" s="15"/>
      <c r="V78" s="22"/>
      <c r="W78" s="22"/>
      <c r="X78" s="22"/>
      <c r="Y78" s="22"/>
      <c r="Z78" s="22"/>
      <c r="AA78" s="22"/>
    </row>
    <row r="79" s="3" customFormat="1" ht="28" spans="1:28">
      <c r="A79" s="11">
        <f>IF(H79="","",COUNTA($H$4:H79))</f>
        <v>76</v>
      </c>
      <c r="B79" s="11">
        <f t="shared" si="1"/>
        <v>3</v>
      </c>
      <c r="C79" s="11" t="s">
        <v>305</v>
      </c>
      <c r="D79" s="11" t="s">
        <v>306</v>
      </c>
      <c r="E79" s="11" t="s">
        <v>314</v>
      </c>
      <c r="F79" s="28" t="s">
        <v>314</v>
      </c>
      <c r="G79" s="11" t="s">
        <v>67</v>
      </c>
      <c r="H79" s="11" t="s">
        <v>28</v>
      </c>
      <c r="I79" s="11" t="s">
        <v>89</v>
      </c>
      <c r="J79" s="11" t="s">
        <v>68</v>
      </c>
      <c r="K79" s="11" t="s">
        <v>31</v>
      </c>
      <c r="L79" s="11" t="s">
        <v>138</v>
      </c>
      <c r="M79" s="19" t="s">
        <v>33</v>
      </c>
      <c r="N79" s="11" t="s">
        <v>34</v>
      </c>
      <c r="O79" s="19" t="s">
        <v>48</v>
      </c>
      <c r="P79" s="11" t="s">
        <v>36</v>
      </c>
      <c r="Q79" s="20">
        <v>60</v>
      </c>
      <c r="R79" s="21" t="s">
        <v>315</v>
      </c>
      <c r="S79" s="21" t="s">
        <v>38</v>
      </c>
      <c r="T79" s="22" t="s">
        <v>316</v>
      </c>
      <c r="U79" s="26">
        <v>46830</v>
      </c>
      <c r="V79" s="22"/>
      <c r="W79" s="22"/>
      <c r="X79" s="22"/>
      <c r="Y79" s="22"/>
      <c r="Z79" s="22"/>
      <c r="AA79" s="22"/>
    </row>
    <row r="80" s="3" customFormat="1" ht="28" spans="1:28">
      <c r="A80" s="11">
        <f>IF(H80="","",COUNTA($H$4:H80))</f>
        <v>77</v>
      </c>
      <c r="B80" s="11">
        <f t="shared" si="1"/>
        <v>4</v>
      </c>
      <c r="C80" s="11" t="s">
        <v>305</v>
      </c>
      <c r="D80" s="11" t="s">
        <v>306</v>
      </c>
      <c r="E80" s="11" t="s">
        <v>317</v>
      </c>
      <c r="F80" s="18" t="s">
        <v>317</v>
      </c>
      <c r="G80" s="11" t="s">
        <v>27</v>
      </c>
      <c r="H80" s="11" t="s">
        <v>28</v>
      </c>
      <c r="I80" s="11" t="s">
        <v>89</v>
      </c>
      <c r="J80" s="11" t="s">
        <v>52</v>
      </c>
      <c r="K80" s="11" t="s">
        <v>31</v>
      </c>
      <c r="L80" s="11" t="s">
        <v>32</v>
      </c>
      <c r="M80" s="19" t="s">
        <v>33</v>
      </c>
      <c r="N80" s="11" t="s">
        <v>34</v>
      </c>
      <c r="O80" s="19" t="s">
        <v>35</v>
      </c>
      <c r="P80" s="11" t="s">
        <v>36</v>
      </c>
      <c r="Q80" s="20">
        <v>15</v>
      </c>
      <c r="R80" s="21" t="s">
        <v>318</v>
      </c>
      <c r="S80" s="21" t="s">
        <v>38</v>
      </c>
      <c r="T80" s="22" t="s">
        <v>319</v>
      </c>
      <c r="U80" s="15">
        <v>46152</v>
      </c>
      <c r="V80" s="22"/>
      <c r="W80" s="22"/>
      <c r="X80" s="22"/>
      <c r="Y80" s="22"/>
      <c r="Z80" s="22"/>
      <c r="AA80" s="22"/>
    </row>
    <row r="81" s="3" customFormat="1" ht="28" spans="1:27">
      <c r="A81" s="11">
        <f>IF(H81="","",COUNTA($H$4:H81))</f>
        <v>78</v>
      </c>
      <c r="B81" s="11">
        <f t="shared" si="1"/>
        <v>5</v>
      </c>
      <c r="C81" s="11" t="s">
        <v>305</v>
      </c>
      <c r="D81" s="11" t="s">
        <v>306</v>
      </c>
      <c r="E81" s="11" t="s">
        <v>320</v>
      </c>
      <c r="F81" s="18" t="s">
        <v>320</v>
      </c>
      <c r="G81" s="11" t="s">
        <v>27</v>
      </c>
      <c r="H81" s="11" t="s">
        <v>28</v>
      </c>
      <c r="I81" s="11" t="s">
        <v>89</v>
      </c>
      <c r="J81" s="11" t="s">
        <v>30</v>
      </c>
      <c r="K81" s="11" t="s">
        <v>31</v>
      </c>
      <c r="L81" s="11" t="s">
        <v>32</v>
      </c>
      <c r="M81" s="19" t="s">
        <v>33</v>
      </c>
      <c r="N81" s="11" t="s">
        <v>34</v>
      </c>
      <c r="O81" s="19" t="s">
        <v>48</v>
      </c>
      <c r="P81" s="11" t="s">
        <v>36</v>
      </c>
      <c r="Q81" s="20">
        <v>21</v>
      </c>
      <c r="R81" s="21" t="s">
        <v>321</v>
      </c>
      <c r="S81" s="21" t="s">
        <v>38</v>
      </c>
      <c r="T81" s="22" t="s">
        <v>322</v>
      </c>
      <c r="U81" s="15">
        <v>46543</v>
      </c>
      <c r="V81" s="22"/>
      <c r="W81" s="22"/>
      <c r="X81" s="22"/>
      <c r="Y81" s="22"/>
      <c r="Z81" s="22"/>
      <c r="AA81" s="22"/>
    </row>
    <row r="82" s="3" customFormat="1" ht="28" spans="1:27">
      <c r="A82" s="11">
        <f>IF(H82="","",COUNTA($H$4:H82))</f>
        <v>79</v>
      </c>
      <c r="B82" s="11">
        <f t="shared" si="1"/>
        <v>6</v>
      </c>
      <c r="C82" s="11" t="s">
        <v>305</v>
      </c>
      <c r="D82" s="11" t="s">
        <v>306</v>
      </c>
      <c r="E82" s="11" t="s">
        <v>323</v>
      </c>
      <c r="F82" s="18" t="s">
        <v>323</v>
      </c>
      <c r="G82" s="11" t="s">
        <v>27</v>
      </c>
      <c r="H82" s="11" t="s">
        <v>28</v>
      </c>
      <c r="I82" s="11" t="s">
        <v>89</v>
      </c>
      <c r="J82" s="11" t="s">
        <v>30</v>
      </c>
      <c r="K82" s="11" t="s">
        <v>31</v>
      </c>
      <c r="L82" s="11" t="s">
        <v>32</v>
      </c>
      <c r="M82" s="19" t="s">
        <v>33</v>
      </c>
      <c r="N82" s="11" t="s">
        <v>34</v>
      </c>
      <c r="O82" s="19" t="s">
        <v>48</v>
      </c>
      <c r="P82" s="11" t="s">
        <v>36</v>
      </c>
      <c r="Q82" s="20">
        <v>21</v>
      </c>
      <c r="R82" s="21" t="s">
        <v>324</v>
      </c>
      <c r="S82" s="21" t="s">
        <v>38</v>
      </c>
      <c r="T82" s="22" t="s">
        <v>325</v>
      </c>
      <c r="U82" s="15">
        <v>46173</v>
      </c>
      <c r="V82" s="22"/>
      <c r="W82" s="22"/>
      <c r="X82" s="22"/>
      <c r="Y82" s="22"/>
      <c r="Z82" s="22"/>
      <c r="AA82" s="22"/>
    </row>
    <row r="83" s="3" customFormat="1" ht="28" spans="1:27">
      <c r="A83" s="11">
        <f>IF(H83="","",COUNTA($H$4:H83))</f>
        <v>80</v>
      </c>
      <c r="B83" s="11">
        <f t="shared" si="1"/>
        <v>7</v>
      </c>
      <c r="C83" s="11" t="s">
        <v>305</v>
      </c>
      <c r="D83" s="11" t="s">
        <v>326</v>
      </c>
      <c r="E83" s="11" t="s">
        <v>327</v>
      </c>
      <c r="F83" s="18" t="s">
        <v>327</v>
      </c>
      <c r="G83" s="11" t="s">
        <v>328</v>
      </c>
      <c r="H83" s="11" t="s">
        <v>28</v>
      </c>
      <c r="I83" s="11" t="s">
        <v>89</v>
      </c>
      <c r="J83" s="11" t="s">
        <v>30</v>
      </c>
      <c r="K83" s="11" t="s">
        <v>31</v>
      </c>
      <c r="L83" s="11" t="s">
        <v>138</v>
      </c>
      <c r="M83" s="19" t="s">
        <v>33</v>
      </c>
      <c r="N83" s="11" t="s">
        <v>34</v>
      </c>
      <c r="O83" s="19" t="s">
        <v>48</v>
      </c>
      <c r="P83" s="11" t="s">
        <v>36</v>
      </c>
      <c r="Q83" s="20">
        <v>45</v>
      </c>
      <c r="R83" s="21" t="s">
        <v>329</v>
      </c>
      <c r="S83" s="21" t="s">
        <v>56</v>
      </c>
      <c r="T83" s="22"/>
      <c r="U83" s="15"/>
      <c r="V83" s="22"/>
      <c r="W83" s="22"/>
      <c r="X83" s="22"/>
      <c r="Y83" s="22"/>
      <c r="Z83" s="22"/>
      <c r="AA83" s="22"/>
    </row>
    <row r="84" s="3" customFormat="1" ht="28" spans="1:27">
      <c r="A84" s="11">
        <f>IF(H84="","",COUNTA($H$4:H84))</f>
        <v>81</v>
      </c>
      <c r="B84" s="11">
        <f t="shared" si="1"/>
        <v>8</v>
      </c>
      <c r="C84" s="11" t="s">
        <v>305</v>
      </c>
      <c r="D84" s="11" t="s">
        <v>326</v>
      </c>
      <c r="E84" s="11" t="s">
        <v>330</v>
      </c>
      <c r="F84" s="18" t="s">
        <v>330</v>
      </c>
      <c r="G84" s="11" t="s">
        <v>328</v>
      </c>
      <c r="H84" s="11" t="s">
        <v>28</v>
      </c>
      <c r="I84" s="11" t="s">
        <v>89</v>
      </c>
      <c r="J84" s="11" t="s">
        <v>90</v>
      </c>
      <c r="K84" s="11" t="s">
        <v>53</v>
      </c>
      <c r="L84" s="11" t="s">
        <v>138</v>
      </c>
      <c r="M84" s="19" t="s">
        <v>33</v>
      </c>
      <c r="N84" s="11" t="s">
        <v>34</v>
      </c>
      <c r="O84" s="19" t="s">
        <v>48</v>
      </c>
      <c r="P84" s="11" t="s">
        <v>36</v>
      </c>
      <c r="Q84" s="20">
        <v>21</v>
      </c>
      <c r="R84" s="21" t="s">
        <v>331</v>
      </c>
      <c r="S84" s="21" t="s">
        <v>56</v>
      </c>
      <c r="T84" s="22"/>
      <c r="U84" s="15"/>
      <c r="V84" s="22"/>
      <c r="W84" s="22"/>
      <c r="X84" s="22"/>
      <c r="Y84" s="22"/>
      <c r="Z84" s="22"/>
      <c r="AA84" s="22"/>
    </row>
    <row r="85" s="3" customFormat="1" ht="28" spans="1:27">
      <c r="A85" s="11">
        <f>IF(H85="","",COUNTA($H$4:H85))</f>
        <v>82</v>
      </c>
      <c r="B85" s="11">
        <f t="shared" si="1"/>
        <v>9</v>
      </c>
      <c r="C85" s="11" t="s">
        <v>305</v>
      </c>
      <c r="D85" s="11" t="s">
        <v>306</v>
      </c>
      <c r="E85" s="11" t="s">
        <v>332</v>
      </c>
      <c r="F85" s="28" t="s">
        <v>332</v>
      </c>
      <c r="G85" s="11" t="s">
        <v>67</v>
      </c>
      <c r="H85" s="11" t="s">
        <v>58</v>
      </c>
      <c r="I85" s="11" t="s">
        <v>89</v>
      </c>
      <c r="J85" s="11" t="s">
        <v>30</v>
      </c>
      <c r="K85" s="11" t="s">
        <v>53</v>
      </c>
      <c r="L85" s="11" t="s">
        <v>138</v>
      </c>
      <c r="M85" s="19" t="s">
        <v>139</v>
      </c>
      <c r="N85" s="11" t="s">
        <v>69</v>
      </c>
      <c r="O85" s="19" t="s">
        <v>48</v>
      </c>
      <c r="P85" s="11" t="s">
        <v>36</v>
      </c>
      <c r="Q85" s="20">
        <v>120</v>
      </c>
      <c r="R85" s="21" t="s">
        <v>315</v>
      </c>
      <c r="S85" s="21" t="s">
        <v>98</v>
      </c>
      <c r="T85" s="22"/>
      <c r="U85" s="15"/>
      <c r="V85" s="22" t="s">
        <v>333</v>
      </c>
      <c r="W85" s="22" t="s">
        <v>334</v>
      </c>
      <c r="X85" s="22">
        <v>120</v>
      </c>
      <c r="Y85" s="22">
        <v>120</v>
      </c>
      <c r="Z85" s="22" t="s">
        <v>171</v>
      </c>
      <c r="AA85" s="22"/>
    </row>
    <row r="86" s="3" customFormat="1" ht="28" spans="1:27">
      <c r="A86" s="11">
        <f>IF(H86="","",COUNTA($H$4:H86))</f>
        <v>83</v>
      </c>
      <c r="B86" s="11">
        <f t="shared" si="1"/>
        <v>10</v>
      </c>
      <c r="C86" s="11" t="s">
        <v>305</v>
      </c>
      <c r="D86" s="11" t="s">
        <v>326</v>
      </c>
      <c r="E86" s="11" t="s">
        <v>335</v>
      </c>
      <c r="F86" s="18" t="s">
        <v>335</v>
      </c>
      <c r="G86" s="11" t="s">
        <v>328</v>
      </c>
      <c r="H86" s="11" t="s">
        <v>58</v>
      </c>
      <c r="I86" s="11" t="s">
        <v>89</v>
      </c>
      <c r="J86" s="11" t="s">
        <v>30</v>
      </c>
      <c r="K86" s="11" t="s">
        <v>53</v>
      </c>
      <c r="L86" s="11" t="s">
        <v>138</v>
      </c>
      <c r="M86" s="19" t="s">
        <v>33</v>
      </c>
      <c r="N86" s="11" t="s">
        <v>34</v>
      </c>
      <c r="O86" s="19" t="s">
        <v>48</v>
      </c>
      <c r="P86" s="11" t="s">
        <v>36</v>
      </c>
      <c r="Q86" s="20">
        <v>45</v>
      </c>
      <c r="R86" s="21" t="s">
        <v>336</v>
      </c>
      <c r="S86" s="21" t="s">
        <v>98</v>
      </c>
      <c r="T86" s="22"/>
      <c r="U86" s="15"/>
      <c r="V86" s="22" t="s">
        <v>174</v>
      </c>
      <c r="W86" s="22" t="s">
        <v>337</v>
      </c>
      <c r="X86" s="22">
        <v>45</v>
      </c>
      <c r="Y86" s="22">
        <v>36</v>
      </c>
      <c r="Z86" s="22" t="s">
        <v>176</v>
      </c>
      <c r="AA86" s="22"/>
    </row>
    <row r="87" s="3" customFormat="1" ht="28" spans="1:27">
      <c r="A87" s="11">
        <f>IF(H87="","",COUNTA($H$4:H87))</f>
        <v>84</v>
      </c>
      <c r="B87" s="11">
        <f t="shared" si="1"/>
        <v>11</v>
      </c>
      <c r="C87" s="11" t="s">
        <v>305</v>
      </c>
      <c r="D87" s="11" t="s">
        <v>326</v>
      </c>
      <c r="E87" s="11" t="s">
        <v>338</v>
      </c>
      <c r="F87" s="18" t="s">
        <v>338</v>
      </c>
      <c r="G87" s="11" t="s">
        <v>328</v>
      </c>
      <c r="H87" s="11" t="s">
        <v>58</v>
      </c>
      <c r="I87" s="11" t="s">
        <v>89</v>
      </c>
      <c r="J87" s="11" t="s">
        <v>30</v>
      </c>
      <c r="K87" s="11" t="s">
        <v>53</v>
      </c>
      <c r="L87" s="11" t="s">
        <v>138</v>
      </c>
      <c r="M87" s="19" t="s">
        <v>33</v>
      </c>
      <c r="N87" s="11" t="s">
        <v>34</v>
      </c>
      <c r="O87" s="19" t="s">
        <v>48</v>
      </c>
      <c r="P87" s="11" t="s">
        <v>36</v>
      </c>
      <c r="Q87" s="20">
        <v>45</v>
      </c>
      <c r="R87" s="21" t="s">
        <v>339</v>
      </c>
      <c r="S87" s="21" t="s">
        <v>98</v>
      </c>
      <c r="T87" s="22"/>
      <c r="U87" s="15"/>
      <c r="V87" s="22" t="s">
        <v>174</v>
      </c>
      <c r="W87" s="22" t="s">
        <v>340</v>
      </c>
      <c r="X87" s="22">
        <v>45</v>
      </c>
      <c r="Y87" s="22">
        <v>36</v>
      </c>
      <c r="Z87" s="22" t="s">
        <v>176</v>
      </c>
      <c r="AA87" s="22"/>
    </row>
    <row r="88" s="3" customFormat="1" ht="28" spans="1:27">
      <c r="A88" s="11">
        <f>IF(H88="","",COUNTA($H$4:H88))</f>
        <v>85</v>
      </c>
      <c r="B88" s="11">
        <f t="shared" si="1"/>
        <v>12</v>
      </c>
      <c r="C88" s="11" t="s">
        <v>305</v>
      </c>
      <c r="D88" s="11" t="s">
        <v>326</v>
      </c>
      <c r="E88" s="11" t="s">
        <v>341</v>
      </c>
      <c r="F88" s="18" t="s">
        <v>341</v>
      </c>
      <c r="G88" s="11" t="s">
        <v>328</v>
      </c>
      <c r="H88" s="11" t="s">
        <v>58</v>
      </c>
      <c r="I88" s="11" t="s">
        <v>89</v>
      </c>
      <c r="J88" s="11" t="s">
        <v>52</v>
      </c>
      <c r="K88" s="11" t="s">
        <v>53</v>
      </c>
      <c r="L88" s="11" t="s">
        <v>138</v>
      </c>
      <c r="M88" s="19" t="s">
        <v>139</v>
      </c>
      <c r="N88" s="11" t="s">
        <v>69</v>
      </c>
      <c r="O88" s="19" t="s">
        <v>35</v>
      </c>
      <c r="P88" s="11" t="s">
        <v>36</v>
      </c>
      <c r="Q88" s="20">
        <v>45</v>
      </c>
      <c r="R88" s="21" t="s">
        <v>342</v>
      </c>
      <c r="S88" s="21" t="s">
        <v>98</v>
      </c>
      <c r="T88" s="22"/>
      <c r="U88" s="15"/>
      <c r="V88" s="22" t="s">
        <v>169</v>
      </c>
      <c r="W88" s="22" t="s">
        <v>343</v>
      </c>
      <c r="X88" s="22">
        <v>45</v>
      </c>
      <c r="Y88" s="22">
        <v>45</v>
      </c>
      <c r="Z88" s="22" t="s">
        <v>171</v>
      </c>
      <c r="AA88" s="22"/>
    </row>
    <row r="89" s="3" customFormat="1" ht="28" spans="1:27">
      <c r="A89" s="11">
        <f>IF(H89="","",COUNTA($H$4:H89))</f>
        <v>86</v>
      </c>
      <c r="B89" s="11">
        <f t="shared" si="1"/>
        <v>13</v>
      </c>
      <c r="C89" s="11" t="s">
        <v>305</v>
      </c>
      <c r="D89" s="11" t="s">
        <v>344</v>
      </c>
      <c r="E89" s="11" t="s">
        <v>345</v>
      </c>
      <c r="F89" s="18" t="s">
        <v>345</v>
      </c>
      <c r="G89" s="11" t="s">
        <v>346</v>
      </c>
      <c r="H89" s="11" t="s">
        <v>58</v>
      </c>
      <c r="I89" s="11" t="s">
        <v>89</v>
      </c>
      <c r="J89" s="11" t="s">
        <v>347</v>
      </c>
      <c r="K89" s="11" t="s">
        <v>53</v>
      </c>
      <c r="L89" s="11" t="s">
        <v>32</v>
      </c>
      <c r="M89" s="19" t="s">
        <v>33</v>
      </c>
      <c r="N89" s="11" t="s">
        <v>120</v>
      </c>
      <c r="O89" s="19" t="s">
        <v>35</v>
      </c>
      <c r="P89" s="11" t="s">
        <v>36</v>
      </c>
      <c r="Q89" s="20">
        <v>30</v>
      </c>
      <c r="R89" s="21" t="s">
        <v>348</v>
      </c>
      <c r="S89" s="21" t="s">
        <v>107</v>
      </c>
      <c r="T89" s="22"/>
      <c r="U89" s="15"/>
      <c r="V89" s="22"/>
      <c r="W89" s="22"/>
      <c r="X89" s="22"/>
      <c r="Y89" s="22"/>
      <c r="Z89" s="22"/>
      <c r="AA89" s="22"/>
    </row>
    <row r="90" s="3" customFormat="1" ht="28" spans="1:27">
      <c r="A90" s="11">
        <f>IF(H90="","",COUNTA($H$4:H90))</f>
        <v>87</v>
      </c>
      <c r="B90" s="11">
        <f t="shared" si="1"/>
        <v>14</v>
      </c>
      <c r="C90" s="11" t="s">
        <v>305</v>
      </c>
      <c r="D90" s="11" t="s">
        <v>306</v>
      </c>
      <c r="E90" s="11" t="s">
        <v>349</v>
      </c>
      <c r="F90" s="18" t="s">
        <v>349</v>
      </c>
      <c r="G90" s="34" t="s">
        <v>27</v>
      </c>
      <c r="H90" s="11" t="s">
        <v>58</v>
      </c>
      <c r="I90" s="11" t="s">
        <v>89</v>
      </c>
      <c r="J90" s="11" t="s">
        <v>30</v>
      </c>
      <c r="K90" s="11" t="s">
        <v>53</v>
      </c>
      <c r="L90" s="11" t="s">
        <v>54</v>
      </c>
      <c r="M90" s="19" t="s">
        <v>33</v>
      </c>
      <c r="N90" s="11" t="s">
        <v>120</v>
      </c>
      <c r="O90" s="19" t="s">
        <v>35</v>
      </c>
      <c r="P90" s="11" t="s">
        <v>36</v>
      </c>
      <c r="Q90" s="20">
        <v>30</v>
      </c>
      <c r="R90" s="21" t="s">
        <v>350</v>
      </c>
      <c r="S90" s="21" t="s">
        <v>98</v>
      </c>
      <c r="T90" s="22"/>
      <c r="U90" s="15"/>
      <c r="V90" s="22" t="s">
        <v>99</v>
      </c>
      <c r="W90" s="22" t="s">
        <v>351</v>
      </c>
      <c r="X90" s="22">
        <v>30</v>
      </c>
      <c r="Y90" s="22">
        <v>15</v>
      </c>
      <c r="Z90" s="22" t="s">
        <v>118</v>
      </c>
      <c r="AA90" s="22"/>
    </row>
    <row r="91" s="3" customFormat="1" ht="28" spans="1:27">
      <c r="A91" s="11">
        <f>IF(H91="","",COUNTA($H$4:H91))</f>
        <v>88</v>
      </c>
      <c r="B91" s="11">
        <f t="shared" si="1"/>
        <v>15</v>
      </c>
      <c r="C91" s="11" t="s">
        <v>305</v>
      </c>
      <c r="D91" s="11" t="s">
        <v>306</v>
      </c>
      <c r="E91" s="11" t="s">
        <v>352</v>
      </c>
      <c r="F91" s="18" t="s">
        <v>352</v>
      </c>
      <c r="G91" s="11" t="s">
        <v>27</v>
      </c>
      <c r="H91" s="11" t="s">
        <v>58</v>
      </c>
      <c r="I91" s="11" t="s">
        <v>89</v>
      </c>
      <c r="J91" s="11" t="s">
        <v>30</v>
      </c>
      <c r="K91" s="11" t="s">
        <v>53</v>
      </c>
      <c r="L91" s="11" t="s">
        <v>32</v>
      </c>
      <c r="M91" s="19" t="s">
        <v>33</v>
      </c>
      <c r="N91" s="11" t="s">
        <v>34</v>
      </c>
      <c r="O91" s="19" t="s">
        <v>35</v>
      </c>
      <c r="P91" s="11" t="s">
        <v>36</v>
      </c>
      <c r="Q91" s="20">
        <v>30</v>
      </c>
      <c r="R91" s="21" t="s">
        <v>353</v>
      </c>
      <c r="S91" s="21" t="s">
        <v>60</v>
      </c>
      <c r="T91" s="22"/>
      <c r="U91" s="15"/>
      <c r="V91" s="22"/>
      <c r="W91" s="22"/>
      <c r="X91" s="22"/>
      <c r="Y91" s="22"/>
      <c r="Z91" s="22"/>
      <c r="AA91" s="22"/>
    </row>
    <row r="92" s="3" customFormat="1" ht="28" spans="1:27">
      <c r="A92" s="11">
        <f>IF(H92="","",COUNTA($H$4:H92))</f>
        <v>89</v>
      </c>
      <c r="B92" s="11">
        <f t="shared" si="1"/>
        <v>16</v>
      </c>
      <c r="C92" s="11" t="s">
        <v>305</v>
      </c>
      <c r="D92" s="11" t="s">
        <v>306</v>
      </c>
      <c r="E92" s="11" t="s">
        <v>354</v>
      </c>
      <c r="F92" s="18" t="s">
        <v>354</v>
      </c>
      <c r="G92" s="11" t="s">
        <v>27</v>
      </c>
      <c r="H92" s="11" t="s">
        <v>28</v>
      </c>
      <c r="I92" s="11" t="s">
        <v>89</v>
      </c>
      <c r="J92" s="11" t="s">
        <v>68</v>
      </c>
      <c r="K92" s="11" t="s">
        <v>31</v>
      </c>
      <c r="L92" s="11" t="s">
        <v>32</v>
      </c>
      <c r="M92" s="19" t="s">
        <v>33</v>
      </c>
      <c r="N92" s="11" t="s">
        <v>34</v>
      </c>
      <c r="O92" s="19" t="s">
        <v>35</v>
      </c>
      <c r="P92" s="11" t="s">
        <v>36</v>
      </c>
      <c r="Q92" s="20">
        <v>30</v>
      </c>
      <c r="R92" s="21" t="s">
        <v>355</v>
      </c>
      <c r="S92" s="21" t="s">
        <v>38</v>
      </c>
      <c r="T92" s="22" t="s">
        <v>356</v>
      </c>
      <c r="U92" s="15">
        <v>46778</v>
      </c>
      <c r="V92" s="22"/>
      <c r="W92" s="22"/>
      <c r="X92" s="22"/>
      <c r="Y92" s="22"/>
      <c r="Z92" s="22"/>
      <c r="AA92" s="22"/>
    </row>
    <row r="93" s="3" customFormat="1" ht="28" spans="1:27">
      <c r="A93" s="11">
        <f>IF(H93="","",COUNTA($H$4:H93))</f>
        <v>90</v>
      </c>
      <c r="B93" s="11">
        <f t="shared" si="1"/>
        <v>17</v>
      </c>
      <c r="C93" s="11" t="s">
        <v>305</v>
      </c>
      <c r="D93" s="11" t="s">
        <v>357</v>
      </c>
      <c r="E93" s="11" t="s">
        <v>358</v>
      </c>
      <c r="F93" s="18" t="s">
        <v>358</v>
      </c>
      <c r="G93" s="11" t="s">
        <v>27</v>
      </c>
      <c r="H93" s="11" t="s">
        <v>58</v>
      </c>
      <c r="I93" s="11" t="s">
        <v>89</v>
      </c>
      <c r="J93" s="11" t="s">
        <v>52</v>
      </c>
      <c r="K93" s="11" t="s">
        <v>53</v>
      </c>
      <c r="L93" s="11" t="s">
        <v>32</v>
      </c>
      <c r="M93" s="19" t="s">
        <v>33</v>
      </c>
      <c r="N93" s="11" t="s">
        <v>34</v>
      </c>
      <c r="O93" s="19" t="s">
        <v>35</v>
      </c>
      <c r="P93" s="11" t="s">
        <v>36</v>
      </c>
      <c r="Q93" s="20">
        <v>30</v>
      </c>
      <c r="R93" s="21" t="s">
        <v>359</v>
      </c>
      <c r="S93" s="21" t="s">
        <v>60</v>
      </c>
      <c r="T93" s="22"/>
      <c r="U93" s="15"/>
      <c r="V93" s="22"/>
      <c r="W93" s="22"/>
      <c r="X93" s="22"/>
      <c r="Y93" s="22"/>
      <c r="Z93" s="22"/>
      <c r="AA93" s="22"/>
    </row>
    <row r="94" s="3" customFormat="1" ht="28" spans="1:27">
      <c r="A94" s="11">
        <f>IF(H94="","",COUNTA($H$4:H94))</f>
        <v>91</v>
      </c>
      <c r="B94" s="11">
        <f t="shared" si="1"/>
        <v>18</v>
      </c>
      <c r="C94" s="11" t="s">
        <v>305</v>
      </c>
      <c r="D94" s="11" t="s">
        <v>310</v>
      </c>
      <c r="E94" s="11" t="s">
        <v>360</v>
      </c>
      <c r="F94" s="18" t="s">
        <v>360</v>
      </c>
      <c r="G94" s="11" t="s">
        <v>361</v>
      </c>
      <c r="H94" s="11" t="s">
        <v>58</v>
      </c>
      <c r="I94" s="11" t="s">
        <v>89</v>
      </c>
      <c r="J94" s="11" t="s">
        <v>52</v>
      </c>
      <c r="K94" s="11" t="s">
        <v>53</v>
      </c>
      <c r="L94" s="11" t="s">
        <v>32</v>
      </c>
      <c r="M94" s="19" t="s">
        <v>33</v>
      </c>
      <c r="N94" s="11" t="s">
        <v>34</v>
      </c>
      <c r="O94" s="19" t="s">
        <v>35</v>
      </c>
      <c r="P94" s="11" t="s">
        <v>36</v>
      </c>
      <c r="Q94" s="20">
        <v>21</v>
      </c>
      <c r="R94" s="21" t="s">
        <v>362</v>
      </c>
      <c r="S94" s="21" t="s">
        <v>63</v>
      </c>
      <c r="T94" s="22"/>
      <c r="U94" s="15"/>
      <c r="V94" s="22"/>
      <c r="W94" s="22"/>
      <c r="X94" s="22"/>
      <c r="Y94" s="22"/>
      <c r="Z94" s="22"/>
      <c r="AA94" s="22"/>
    </row>
    <row r="95" s="3" customFormat="1" ht="28" spans="1:27">
      <c r="A95" s="11">
        <f>IF(H95="","",COUNTA($H$4:H95))</f>
        <v>92</v>
      </c>
      <c r="B95" s="11">
        <f t="shared" si="1"/>
        <v>19</v>
      </c>
      <c r="C95" s="11" t="s">
        <v>305</v>
      </c>
      <c r="D95" s="11" t="s">
        <v>306</v>
      </c>
      <c r="E95" s="11" t="s">
        <v>363</v>
      </c>
      <c r="F95" s="18" t="s">
        <v>363</v>
      </c>
      <c r="G95" s="11" t="s">
        <v>27</v>
      </c>
      <c r="H95" s="11" t="s">
        <v>58</v>
      </c>
      <c r="I95" s="11" t="s">
        <v>89</v>
      </c>
      <c r="J95" s="11" t="s">
        <v>30</v>
      </c>
      <c r="K95" s="11" t="s">
        <v>53</v>
      </c>
      <c r="L95" s="11" t="s">
        <v>32</v>
      </c>
      <c r="M95" s="19" t="s">
        <v>33</v>
      </c>
      <c r="N95" s="11" t="s">
        <v>120</v>
      </c>
      <c r="O95" s="19" t="s">
        <v>35</v>
      </c>
      <c r="P95" s="11" t="s">
        <v>36</v>
      </c>
      <c r="Q95" s="20">
        <v>30</v>
      </c>
      <c r="R95" s="21" t="s">
        <v>364</v>
      </c>
      <c r="S95" s="21" t="s">
        <v>60</v>
      </c>
      <c r="T95" s="22"/>
      <c r="U95" s="15"/>
      <c r="V95" s="22"/>
      <c r="W95" s="22"/>
      <c r="X95" s="22"/>
      <c r="Y95" s="22"/>
      <c r="Z95" s="22"/>
      <c r="AA95" s="22"/>
    </row>
    <row r="96" s="3" customFormat="1" ht="28" spans="1:27">
      <c r="A96" s="11">
        <f>IF(H96="","",COUNTA($H$4:H96))</f>
        <v>93</v>
      </c>
      <c r="B96" s="11">
        <f t="shared" si="1"/>
        <v>20</v>
      </c>
      <c r="C96" s="11" t="s">
        <v>305</v>
      </c>
      <c r="D96" s="11" t="s">
        <v>306</v>
      </c>
      <c r="E96" s="11" t="s">
        <v>365</v>
      </c>
      <c r="F96" s="18" t="s">
        <v>365</v>
      </c>
      <c r="G96" s="11" t="s">
        <v>27</v>
      </c>
      <c r="H96" s="11" t="s">
        <v>58</v>
      </c>
      <c r="I96" s="11" t="s">
        <v>89</v>
      </c>
      <c r="J96" s="11" t="s">
        <v>90</v>
      </c>
      <c r="K96" s="11" t="s">
        <v>53</v>
      </c>
      <c r="L96" s="11" t="s">
        <v>32</v>
      </c>
      <c r="M96" s="19" t="s">
        <v>33</v>
      </c>
      <c r="N96" s="11" t="s">
        <v>34</v>
      </c>
      <c r="O96" s="19" t="s">
        <v>35</v>
      </c>
      <c r="P96" s="11" t="s">
        <v>36</v>
      </c>
      <c r="Q96" s="20">
        <v>9</v>
      </c>
      <c r="R96" s="21" t="s">
        <v>366</v>
      </c>
      <c r="S96" s="21" t="s">
        <v>63</v>
      </c>
      <c r="T96" s="22"/>
      <c r="U96" s="15"/>
      <c r="V96" s="22"/>
      <c r="W96" s="22"/>
      <c r="X96" s="22"/>
      <c r="Y96" s="22"/>
      <c r="Z96" s="22"/>
      <c r="AA96" s="22"/>
    </row>
    <row r="97" s="3" customFormat="1" ht="28" spans="1:28">
      <c r="A97" s="11">
        <f>IF(H97="","",COUNTA($H$4:H97))</f>
        <v>94</v>
      </c>
      <c r="B97" s="11">
        <f t="shared" si="1"/>
        <v>21</v>
      </c>
      <c r="C97" s="11" t="s">
        <v>305</v>
      </c>
      <c r="D97" s="11" t="s">
        <v>306</v>
      </c>
      <c r="E97" s="11" t="s">
        <v>367</v>
      </c>
      <c r="F97" s="35" t="s">
        <v>368</v>
      </c>
      <c r="G97" s="11" t="s">
        <v>27</v>
      </c>
      <c r="H97" s="11" t="s">
        <v>58</v>
      </c>
      <c r="I97" s="11" t="s">
        <v>89</v>
      </c>
      <c r="J97" s="11" t="s">
        <v>30</v>
      </c>
      <c r="K97" s="11" t="s">
        <v>53</v>
      </c>
      <c r="L97" s="11" t="s">
        <v>32</v>
      </c>
      <c r="M97" s="19" t="s">
        <v>33</v>
      </c>
      <c r="N97" s="11" t="s">
        <v>69</v>
      </c>
      <c r="O97" s="19" t="s">
        <v>35</v>
      </c>
      <c r="P97" s="11" t="s">
        <v>36</v>
      </c>
      <c r="Q97" s="20">
        <v>45</v>
      </c>
      <c r="R97" s="21" t="s">
        <v>369</v>
      </c>
      <c r="S97" s="21" t="s">
        <v>60</v>
      </c>
      <c r="T97" s="22"/>
      <c r="U97" s="15"/>
      <c r="V97" s="22"/>
      <c r="W97" s="22"/>
      <c r="X97" s="22"/>
      <c r="Y97" s="22"/>
      <c r="Z97" s="22"/>
      <c r="AA97" s="22"/>
    </row>
    <row r="98" s="3" customFormat="1" ht="28" spans="1:28">
      <c r="A98" s="11">
        <f>IF(H98="","",COUNTA($H$4:H98))</f>
        <v>95</v>
      </c>
      <c r="B98" s="11">
        <f t="shared" si="1"/>
        <v>22</v>
      </c>
      <c r="C98" s="11" t="s">
        <v>305</v>
      </c>
      <c r="D98" s="11" t="s">
        <v>306</v>
      </c>
      <c r="E98" s="11" t="s">
        <v>370</v>
      </c>
      <c r="F98" s="18" t="s">
        <v>370</v>
      </c>
      <c r="G98" s="11" t="s">
        <v>27</v>
      </c>
      <c r="H98" s="11" t="s">
        <v>58</v>
      </c>
      <c r="I98" s="11" t="s">
        <v>89</v>
      </c>
      <c r="J98" s="11" t="s">
        <v>30</v>
      </c>
      <c r="K98" s="11" t="s">
        <v>53</v>
      </c>
      <c r="L98" s="11" t="s">
        <v>54</v>
      </c>
      <c r="M98" s="19" t="s">
        <v>33</v>
      </c>
      <c r="N98" s="11" t="s">
        <v>34</v>
      </c>
      <c r="O98" s="19" t="s">
        <v>35</v>
      </c>
      <c r="P98" s="11" t="s">
        <v>36</v>
      </c>
      <c r="Q98" s="20">
        <v>30</v>
      </c>
      <c r="R98" s="21" t="s">
        <v>371</v>
      </c>
      <c r="S98" s="21" t="s">
        <v>107</v>
      </c>
      <c r="T98" s="22"/>
      <c r="U98" s="15"/>
      <c r="V98" s="22"/>
      <c r="W98" s="22"/>
      <c r="X98" s="22"/>
      <c r="Y98" s="22"/>
      <c r="Z98" s="22"/>
      <c r="AA98" s="22"/>
    </row>
    <row r="99" s="3" customFormat="1" ht="28" spans="1:28">
      <c r="A99" s="11">
        <f>IF(H99="","",COUNTA($H$4:H99))</f>
        <v>96</v>
      </c>
      <c r="B99" s="11">
        <f t="shared" si="1"/>
        <v>23</v>
      </c>
      <c r="C99" s="11" t="s">
        <v>305</v>
      </c>
      <c r="D99" s="11" t="s">
        <v>306</v>
      </c>
      <c r="E99" s="11" t="s">
        <v>372</v>
      </c>
      <c r="F99" s="18" t="s">
        <v>372</v>
      </c>
      <c r="G99" s="11" t="s">
        <v>27</v>
      </c>
      <c r="H99" s="11" t="s">
        <v>58</v>
      </c>
      <c r="I99" s="11" t="s">
        <v>89</v>
      </c>
      <c r="J99" s="11" t="s">
        <v>30</v>
      </c>
      <c r="K99" s="11" t="s">
        <v>53</v>
      </c>
      <c r="L99" s="11" t="s">
        <v>54</v>
      </c>
      <c r="M99" s="19" t="s">
        <v>33</v>
      </c>
      <c r="N99" s="11" t="s">
        <v>34</v>
      </c>
      <c r="O99" s="19" t="s">
        <v>35</v>
      </c>
      <c r="P99" s="11" t="s">
        <v>36</v>
      </c>
      <c r="Q99" s="20">
        <v>30</v>
      </c>
      <c r="R99" s="21" t="s">
        <v>373</v>
      </c>
      <c r="S99" s="21" t="s">
        <v>98</v>
      </c>
      <c r="T99" s="22"/>
      <c r="U99" s="15"/>
      <c r="V99" s="22" t="s">
        <v>99</v>
      </c>
      <c r="W99" s="22" t="s">
        <v>374</v>
      </c>
      <c r="X99" s="22">
        <v>30</v>
      </c>
      <c r="Y99" s="22">
        <v>9</v>
      </c>
      <c r="Z99" s="22" t="s">
        <v>118</v>
      </c>
      <c r="AA99" s="22"/>
    </row>
    <row r="100" s="3" customFormat="1" ht="28" spans="1:28">
      <c r="A100" s="11">
        <f>IF(H100="","",COUNTA($H$4:H100))</f>
        <v>97</v>
      </c>
      <c r="B100" s="11">
        <f t="shared" si="1"/>
        <v>24</v>
      </c>
      <c r="C100" s="11" t="s">
        <v>305</v>
      </c>
      <c r="D100" s="11" t="s">
        <v>306</v>
      </c>
      <c r="E100" s="11" t="s">
        <v>375</v>
      </c>
      <c r="F100" s="18" t="s">
        <v>375</v>
      </c>
      <c r="G100" s="11" t="s">
        <v>27</v>
      </c>
      <c r="H100" s="11" t="s">
        <v>28</v>
      </c>
      <c r="I100" s="11" t="s">
        <v>89</v>
      </c>
      <c r="J100" s="11" t="s">
        <v>30</v>
      </c>
      <c r="K100" s="11" t="s">
        <v>53</v>
      </c>
      <c r="L100" s="11" t="s">
        <v>54</v>
      </c>
      <c r="M100" s="19" t="s">
        <v>33</v>
      </c>
      <c r="N100" s="11" t="s">
        <v>34</v>
      </c>
      <c r="O100" s="19" t="s">
        <v>35</v>
      </c>
      <c r="P100" s="11" t="s">
        <v>36</v>
      </c>
      <c r="Q100" s="20">
        <v>30</v>
      </c>
      <c r="R100" s="21" t="s">
        <v>376</v>
      </c>
      <c r="S100" s="32" t="s">
        <v>244</v>
      </c>
      <c r="T100" s="25" t="s">
        <v>377</v>
      </c>
      <c r="U100" s="26">
        <v>46939</v>
      </c>
      <c r="V100" s="22"/>
      <c r="W100" s="22"/>
      <c r="X100" s="22"/>
      <c r="Y100" s="22"/>
      <c r="Z100" s="22"/>
      <c r="AA100" s="22"/>
      <c r="AB100" s="33" t="s">
        <v>291</v>
      </c>
    </row>
    <row r="101" s="3" customFormat="1" ht="28" spans="1:28">
      <c r="A101" s="11">
        <f>IF(H101="","",COUNTA($H$4:H101))</f>
        <v>98</v>
      </c>
      <c r="B101" s="11">
        <f t="shared" si="1"/>
        <v>25</v>
      </c>
      <c r="C101" s="11" t="s">
        <v>305</v>
      </c>
      <c r="D101" s="11" t="s">
        <v>344</v>
      </c>
      <c r="E101" s="11" t="s">
        <v>378</v>
      </c>
      <c r="F101" s="18" t="s">
        <v>378</v>
      </c>
      <c r="G101" s="11" t="s">
        <v>346</v>
      </c>
      <c r="H101" s="11" t="s">
        <v>58</v>
      </c>
      <c r="I101" s="11" t="s">
        <v>89</v>
      </c>
      <c r="J101" s="11" t="s">
        <v>30</v>
      </c>
      <c r="K101" s="11" t="s">
        <v>53</v>
      </c>
      <c r="L101" s="11" t="s">
        <v>32</v>
      </c>
      <c r="M101" s="19" t="s">
        <v>33</v>
      </c>
      <c r="N101" s="11" t="s">
        <v>34</v>
      </c>
      <c r="O101" s="19" t="s">
        <v>35</v>
      </c>
      <c r="P101" s="11" t="s">
        <v>36</v>
      </c>
      <c r="Q101" s="20">
        <v>30</v>
      </c>
      <c r="R101" s="21" t="s">
        <v>379</v>
      </c>
      <c r="S101" s="21" t="s">
        <v>60</v>
      </c>
      <c r="T101" s="22"/>
      <c r="U101" s="15"/>
      <c r="V101" s="22"/>
      <c r="W101" s="22"/>
      <c r="X101" s="22"/>
      <c r="Y101" s="22"/>
      <c r="Z101" s="22"/>
      <c r="AA101" s="22"/>
    </row>
    <row r="102" s="3" customFormat="1" ht="28" spans="1:28">
      <c r="A102" s="11">
        <f>IF(H102="","",COUNTA($H$4:H102))</f>
        <v>99</v>
      </c>
      <c r="B102" s="11">
        <f t="shared" si="1"/>
        <v>26</v>
      </c>
      <c r="C102" s="11" t="s">
        <v>305</v>
      </c>
      <c r="D102" s="11" t="s">
        <v>310</v>
      </c>
      <c r="E102" s="11" t="s">
        <v>380</v>
      </c>
      <c r="F102" s="18" t="s">
        <v>380</v>
      </c>
      <c r="G102" s="11" t="s">
        <v>361</v>
      </c>
      <c r="H102" s="11" t="s">
        <v>58</v>
      </c>
      <c r="I102" s="11" t="s">
        <v>89</v>
      </c>
      <c r="J102" s="11" t="s">
        <v>52</v>
      </c>
      <c r="K102" s="11" t="s">
        <v>53</v>
      </c>
      <c r="L102" s="11" t="s">
        <v>32</v>
      </c>
      <c r="M102" s="19" t="s">
        <v>139</v>
      </c>
      <c r="N102" s="11" t="s">
        <v>69</v>
      </c>
      <c r="O102" s="19" t="s">
        <v>35</v>
      </c>
      <c r="P102" s="11" t="s">
        <v>36</v>
      </c>
      <c r="Q102" s="20">
        <v>30</v>
      </c>
      <c r="R102" s="21" t="s">
        <v>381</v>
      </c>
      <c r="S102" s="21" t="s">
        <v>60</v>
      </c>
      <c r="T102" s="22"/>
      <c r="U102" s="15"/>
      <c r="V102" s="22"/>
      <c r="W102" s="22"/>
      <c r="X102" s="22"/>
      <c r="Y102" s="22"/>
      <c r="Z102" s="22"/>
      <c r="AA102" s="22"/>
    </row>
    <row r="103" s="3" customFormat="1" ht="28" spans="1:28">
      <c r="A103" s="11">
        <f>IF(H103="","",COUNTA($H$4:H103))</f>
        <v>100</v>
      </c>
      <c r="B103" s="11">
        <f t="shared" si="1"/>
        <v>27</v>
      </c>
      <c r="C103" s="11" t="s">
        <v>305</v>
      </c>
      <c r="D103" s="11" t="s">
        <v>310</v>
      </c>
      <c r="E103" s="11" t="s">
        <v>382</v>
      </c>
      <c r="F103" s="18" t="s">
        <v>382</v>
      </c>
      <c r="G103" s="11" t="s">
        <v>361</v>
      </c>
      <c r="H103" s="11" t="s">
        <v>58</v>
      </c>
      <c r="I103" s="11" t="s">
        <v>89</v>
      </c>
      <c r="J103" s="11" t="s">
        <v>90</v>
      </c>
      <c r="K103" s="11" t="s">
        <v>53</v>
      </c>
      <c r="L103" s="11" t="s">
        <v>32</v>
      </c>
      <c r="M103" s="19" t="s">
        <v>33</v>
      </c>
      <c r="N103" s="11" t="s">
        <v>34</v>
      </c>
      <c r="O103" s="19" t="s">
        <v>35</v>
      </c>
      <c r="P103" s="11" t="s">
        <v>36</v>
      </c>
      <c r="Q103" s="20">
        <v>21</v>
      </c>
      <c r="R103" s="21" t="s">
        <v>383</v>
      </c>
      <c r="S103" s="21" t="s">
        <v>63</v>
      </c>
      <c r="T103" s="22"/>
      <c r="U103" s="15"/>
      <c r="V103" s="22"/>
      <c r="W103" s="22"/>
      <c r="X103" s="22"/>
      <c r="Y103" s="22"/>
      <c r="Z103" s="22"/>
      <c r="AA103" s="22"/>
    </row>
    <row r="104" s="3" customFormat="1" ht="28" spans="1:28">
      <c r="A104" s="11">
        <f>IF(H104="","",COUNTA($H$4:H104))</f>
        <v>101</v>
      </c>
      <c r="B104" s="11">
        <f t="shared" si="1"/>
        <v>28</v>
      </c>
      <c r="C104" s="11" t="s">
        <v>305</v>
      </c>
      <c r="D104" s="11" t="s">
        <v>306</v>
      </c>
      <c r="E104" s="11" t="s">
        <v>384</v>
      </c>
      <c r="F104" s="18" t="s">
        <v>384</v>
      </c>
      <c r="G104" s="11" t="s">
        <v>27</v>
      </c>
      <c r="H104" s="11" t="s">
        <v>58</v>
      </c>
      <c r="I104" s="11" t="s">
        <v>89</v>
      </c>
      <c r="J104" s="11" t="s">
        <v>30</v>
      </c>
      <c r="K104" s="11" t="s">
        <v>53</v>
      </c>
      <c r="L104" s="11" t="s">
        <v>32</v>
      </c>
      <c r="M104" s="19" t="s">
        <v>33</v>
      </c>
      <c r="N104" s="11" t="s">
        <v>34</v>
      </c>
      <c r="O104" s="19" t="s">
        <v>35</v>
      </c>
      <c r="P104" s="11" t="s">
        <v>36</v>
      </c>
      <c r="Q104" s="20">
        <v>30</v>
      </c>
      <c r="R104" s="21" t="s">
        <v>385</v>
      </c>
      <c r="S104" s="31" t="s">
        <v>98</v>
      </c>
      <c r="T104" s="22"/>
      <c r="U104" s="15"/>
      <c r="V104" s="25" t="s">
        <v>99</v>
      </c>
      <c r="W104" s="25" t="s">
        <v>386</v>
      </c>
      <c r="X104" s="25">
        <v>30</v>
      </c>
      <c r="Y104" s="25">
        <v>15</v>
      </c>
      <c r="Z104" s="25" t="s">
        <v>118</v>
      </c>
      <c r="AA104" s="22"/>
    </row>
    <row r="105" s="3" customFormat="1" ht="28" spans="1:28">
      <c r="A105" s="11">
        <f>IF(H105="","",COUNTA($H$4:H105))</f>
        <v>102</v>
      </c>
      <c r="B105" s="11">
        <f t="shared" si="1"/>
        <v>29</v>
      </c>
      <c r="C105" s="11" t="s">
        <v>305</v>
      </c>
      <c r="D105" s="11" t="s">
        <v>387</v>
      </c>
      <c r="E105" s="11" t="s">
        <v>388</v>
      </c>
      <c r="F105" s="18" t="s">
        <v>388</v>
      </c>
      <c r="G105" s="11" t="s">
        <v>27</v>
      </c>
      <c r="H105" s="11" t="s">
        <v>58</v>
      </c>
      <c r="I105" s="11" t="s">
        <v>110</v>
      </c>
      <c r="J105" s="11" t="s">
        <v>30</v>
      </c>
      <c r="K105" s="11" t="s">
        <v>53</v>
      </c>
      <c r="L105" s="11" t="s">
        <v>54</v>
      </c>
      <c r="M105" s="19" t="s">
        <v>33</v>
      </c>
      <c r="N105" s="11" t="s">
        <v>34</v>
      </c>
      <c r="O105" s="19" t="s">
        <v>35</v>
      </c>
      <c r="P105" s="11" t="s">
        <v>36</v>
      </c>
      <c r="Q105" s="20">
        <v>30</v>
      </c>
      <c r="R105" s="21" t="s">
        <v>389</v>
      </c>
      <c r="S105" s="21" t="s">
        <v>107</v>
      </c>
      <c r="T105" s="22"/>
      <c r="U105" s="15"/>
      <c r="V105" s="22"/>
      <c r="W105" s="22"/>
      <c r="X105" s="22"/>
      <c r="Y105" s="22"/>
      <c r="Z105" s="22"/>
      <c r="AA105" s="22"/>
    </row>
    <row r="106" s="3" customFormat="1" ht="28" spans="1:28">
      <c r="A106" s="11">
        <f>IF(H106="","",COUNTA($H$4:H106))</f>
        <v>103</v>
      </c>
      <c r="B106" s="11">
        <f t="shared" si="1"/>
        <v>30</v>
      </c>
      <c r="C106" s="11" t="s">
        <v>305</v>
      </c>
      <c r="D106" s="11" t="s">
        <v>326</v>
      </c>
      <c r="E106" s="11" t="s">
        <v>390</v>
      </c>
      <c r="F106" s="18" t="s">
        <v>390</v>
      </c>
      <c r="G106" s="11" t="s">
        <v>328</v>
      </c>
      <c r="H106" s="11" t="s">
        <v>58</v>
      </c>
      <c r="I106" s="11" t="s">
        <v>89</v>
      </c>
      <c r="J106" s="11" t="s">
        <v>52</v>
      </c>
      <c r="K106" s="11" t="s">
        <v>53</v>
      </c>
      <c r="L106" s="11" t="s">
        <v>138</v>
      </c>
      <c r="M106" s="19" t="s">
        <v>33</v>
      </c>
      <c r="N106" s="11" t="s">
        <v>34</v>
      </c>
      <c r="O106" s="19" t="s">
        <v>35</v>
      </c>
      <c r="P106" s="11" t="s">
        <v>36</v>
      </c>
      <c r="Q106" s="20">
        <v>15</v>
      </c>
      <c r="R106" s="21" t="s">
        <v>391</v>
      </c>
      <c r="S106" s="21" t="s">
        <v>63</v>
      </c>
      <c r="T106" s="22"/>
      <c r="U106" s="15"/>
      <c r="V106" s="22"/>
      <c r="W106" s="22"/>
      <c r="X106" s="22"/>
      <c r="Y106" s="22"/>
      <c r="Z106" s="22"/>
      <c r="AA106" s="22"/>
    </row>
    <row r="107" s="3" customFormat="1" ht="28" spans="1:28">
      <c r="A107" s="11">
        <f>IF(H107="","",COUNTA($H$4:H107))</f>
        <v>104</v>
      </c>
      <c r="B107" s="11">
        <f t="shared" si="1"/>
        <v>1</v>
      </c>
      <c r="C107" s="11" t="s">
        <v>392</v>
      </c>
      <c r="D107" s="11" t="s">
        <v>393</v>
      </c>
      <c r="E107" s="11" t="s">
        <v>394</v>
      </c>
      <c r="F107" s="23" t="s">
        <v>394</v>
      </c>
      <c r="G107" s="11" t="s">
        <v>67</v>
      </c>
      <c r="H107" s="11" t="s">
        <v>28</v>
      </c>
      <c r="I107" s="11" t="s">
        <v>29</v>
      </c>
      <c r="J107" s="11" t="s">
        <v>68</v>
      </c>
      <c r="K107" s="11" t="s">
        <v>78</v>
      </c>
      <c r="L107" s="11" t="s">
        <v>138</v>
      </c>
      <c r="M107" s="19" t="s">
        <v>139</v>
      </c>
      <c r="N107" s="11" t="s">
        <v>143</v>
      </c>
      <c r="O107" s="19" t="s">
        <v>48</v>
      </c>
      <c r="P107" s="11" t="s">
        <v>70</v>
      </c>
      <c r="Q107" s="20">
        <v>150</v>
      </c>
      <c r="R107" s="21" t="s">
        <v>395</v>
      </c>
      <c r="S107" s="21" t="s">
        <v>38</v>
      </c>
      <c r="T107" s="22" t="s">
        <v>396</v>
      </c>
      <c r="U107" s="15">
        <v>46384</v>
      </c>
      <c r="V107" s="22"/>
      <c r="W107" s="22"/>
      <c r="X107" s="22"/>
      <c r="Y107" s="22"/>
      <c r="Z107" s="22"/>
      <c r="AA107" s="22"/>
    </row>
    <row r="108" s="3" customFormat="1" ht="28" spans="1:28">
      <c r="A108" s="11">
        <f>IF(H108="","",COUNTA($H$4:H108))</f>
        <v>105</v>
      </c>
      <c r="B108" s="11">
        <f t="shared" si="1"/>
        <v>2</v>
      </c>
      <c r="C108" s="11" t="s">
        <v>392</v>
      </c>
      <c r="D108" s="11" t="s">
        <v>397</v>
      </c>
      <c r="E108" s="11" t="s">
        <v>398</v>
      </c>
      <c r="F108" s="23" t="s">
        <v>398</v>
      </c>
      <c r="G108" s="11" t="s">
        <v>67</v>
      </c>
      <c r="H108" s="11" t="s">
        <v>28</v>
      </c>
      <c r="I108" s="11" t="s">
        <v>29</v>
      </c>
      <c r="J108" s="11" t="s">
        <v>68</v>
      </c>
      <c r="K108" s="11" t="s">
        <v>78</v>
      </c>
      <c r="L108" s="11" t="s">
        <v>138</v>
      </c>
      <c r="M108" s="19" t="s">
        <v>139</v>
      </c>
      <c r="N108" s="11" t="s">
        <v>143</v>
      </c>
      <c r="O108" s="19" t="s">
        <v>48</v>
      </c>
      <c r="P108" s="11" t="s">
        <v>70</v>
      </c>
      <c r="Q108" s="20">
        <v>110</v>
      </c>
      <c r="R108" s="21" t="s">
        <v>399</v>
      </c>
      <c r="S108" s="21" t="s">
        <v>38</v>
      </c>
      <c r="T108" s="25" t="s">
        <v>400</v>
      </c>
      <c r="U108" s="26">
        <v>46658</v>
      </c>
      <c r="V108" s="22"/>
      <c r="W108" s="22"/>
      <c r="X108" s="22"/>
      <c r="Y108" s="22"/>
      <c r="Z108" s="22"/>
      <c r="AA108" s="22"/>
    </row>
    <row r="109" s="3" customFormat="1" ht="28" spans="1:28">
      <c r="A109" s="11">
        <f>IF(H109="","",COUNTA($H$4:H109))</f>
        <v>106</v>
      </c>
      <c r="B109" s="11">
        <f t="shared" si="1"/>
        <v>3</v>
      </c>
      <c r="C109" s="11" t="s">
        <v>392</v>
      </c>
      <c r="D109" s="11" t="s">
        <v>397</v>
      </c>
      <c r="E109" s="11" t="s">
        <v>401</v>
      </c>
      <c r="F109" s="23" t="s">
        <v>401</v>
      </c>
      <c r="G109" s="11" t="s">
        <v>67</v>
      </c>
      <c r="H109" s="11" t="s">
        <v>28</v>
      </c>
      <c r="I109" s="11" t="s">
        <v>29</v>
      </c>
      <c r="J109" s="11" t="s">
        <v>30</v>
      </c>
      <c r="K109" s="11" t="s">
        <v>31</v>
      </c>
      <c r="L109" s="11" t="s">
        <v>138</v>
      </c>
      <c r="M109" s="19" t="s">
        <v>139</v>
      </c>
      <c r="N109" s="11" t="s">
        <v>69</v>
      </c>
      <c r="O109" s="19" t="s">
        <v>35</v>
      </c>
      <c r="P109" s="11" t="s">
        <v>70</v>
      </c>
      <c r="Q109" s="20">
        <v>30</v>
      </c>
      <c r="R109" s="21" t="s">
        <v>402</v>
      </c>
      <c r="S109" s="21" t="s">
        <v>38</v>
      </c>
      <c r="T109" s="22" t="s">
        <v>403</v>
      </c>
      <c r="U109" s="15">
        <v>46099</v>
      </c>
      <c r="V109" s="22"/>
      <c r="W109" s="22"/>
      <c r="X109" s="22"/>
      <c r="Y109" s="22"/>
      <c r="Z109" s="22"/>
      <c r="AA109" s="22"/>
    </row>
    <row r="110" s="3" customFormat="1" ht="28" spans="1:28">
      <c r="A110" s="11">
        <f>IF(H110="","",COUNTA($H$4:H110))</f>
        <v>107</v>
      </c>
      <c r="B110" s="11">
        <f t="shared" si="1"/>
        <v>4</v>
      </c>
      <c r="C110" s="11" t="s">
        <v>392</v>
      </c>
      <c r="D110" s="11" t="s">
        <v>393</v>
      </c>
      <c r="E110" s="11" t="s">
        <v>404</v>
      </c>
      <c r="F110" s="23" t="s">
        <v>404</v>
      </c>
      <c r="G110" s="11" t="s">
        <v>67</v>
      </c>
      <c r="H110" s="11" t="s">
        <v>28</v>
      </c>
      <c r="I110" s="11" t="s">
        <v>29</v>
      </c>
      <c r="J110" s="11" t="s">
        <v>68</v>
      </c>
      <c r="K110" s="11" t="s">
        <v>31</v>
      </c>
      <c r="L110" s="11" t="s">
        <v>138</v>
      </c>
      <c r="M110" s="19" t="s">
        <v>142</v>
      </c>
      <c r="N110" s="11" t="s">
        <v>143</v>
      </c>
      <c r="O110" s="19" t="s">
        <v>48</v>
      </c>
      <c r="P110" s="11" t="s">
        <v>70</v>
      </c>
      <c r="Q110" s="20">
        <v>60</v>
      </c>
      <c r="R110" s="21" t="s">
        <v>405</v>
      </c>
      <c r="S110" s="21" t="s">
        <v>38</v>
      </c>
      <c r="T110" s="22" t="s">
        <v>406</v>
      </c>
      <c r="U110" s="15">
        <v>46541</v>
      </c>
      <c r="V110" s="22"/>
      <c r="W110" s="22"/>
      <c r="X110" s="22"/>
      <c r="Y110" s="22"/>
      <c r="Z110" s="22"/>
      <c r="AA110" s="22"/>
    </row>
    <row r="111" s="3" customFormat="1" ht="28" spans="1:28">
      <c r="A111" s="11">
        <f>IF(H111="","",COUNTA($H$4:H111))</f>
        <v>108</v>
      </c>
      <c r="B111" s="11">
        <f t="shared" si="1"/>
        <v>5</v>
      </c>
      <c r="C111" s="11" t="s">
        <v>392</v>
      </c>
      <c r="D111" s="11" t="s">
        <v>407</v>
      </c>
      <c r="E111" s="11" t="s">
        <v>408</v>
      </c>
      <c r="F111" s="18" t="s">
        <v>408</v>
      </c>
      <c r="G111" s="11" t="s">
        <v>27</v>
      </c>
      <c r="H111" s="11" t="s">
        <v>28</v>
      </c>
      <c r="I111" s="11" t="s">
        <v>29</v>
      </c>
      <c r="J111" s="11" t="s">
        <v>30</v>
      </c>
      <c r="K111" s="11" t="s">
        <v>31</v>
      </c>
      <c r="L111" s="11" t="s">
        <v>138</v>
      </c>
      <c r="M111" s="19" t="s">
        <v>33</v>
      </c>
      <c r="N111" s="11" t="s">
        <v>69</v>
      </c>
      <c r="O111" s="19" t="s">
        <v>35</v>
      </c>
      <c r="P111" s="11" t="s">
        <v>70</v>
      </c>
      <c r="Q111" s="20">
        <v>30</v>
      </c>
      <c r="R111" s="21" t="s">
        <v>409</v>
      </c>
      <c r="S111" s="21" t="s">
        <v>38</v>
      </c>
      <c r="T111" s="22" t="s">
        <v>410</v>
      </c>
      <c r="U111" s="15">
        <v>46677</v>
      </c>
      <c r="V111" s="22"/>
      <c r="W111" s="22"/>
      <c r="X111" s="22"/>
      <c r="Y111" s="22"/>
      <c r="Z111" s="22"/>
      <c r="AA111" s="22"/>
    </row>
    <row r="112" s="3" customFormat="1" ht="28" spans="1:28">
      <c r="A112" s="11">
        <f>IF(H112="","",COUNTA($H$4:H112))</f>
        <v>109</v>
      </c>
      <c r="B112" s="11">
        <f t="shared" si="1"/>
        <v>6</v>
      </c>
      <c r="C112" s="11" t="s">
        <v>392</v>
      </c>
      <c r="D112" s="11" t="s">
        <v>397</v>
      </c>
      <c r="E112" s="11" t="s">
        <v>411</v>
      </c>
      <c r="F112" s="18" t="s">
        <v>411</v>
      </c>
      <c r="G112" s="11" t="s">
        <v>27</v>
      </c>
      <c r="H112" s="11" t="s">
        <v>28</v>
      </c>
      <c r="I112" s="11" t="s">
        <v>29</v>
      </c>
      <c r="J112" s="11" t="s">
        <v>85</v>
      </c>
      <c r="K112" s="11" t="s">
        <v>31</v>
      </c>
      <c r="L112" s="11" t="s">
        <v>138</v>
      </c>
      <c r="M112" s="19" t="s">
        <v>33</v>
      </c>
      <c r="N112" s="11" t="s">
        <v>34</v>
      </c>
      <c r="O112" s="19" t="s">
        <v>35</v>
      </c>
      <c r="P112" s="11" t="s">
        <v>70</v>
      </c>
      <c r="Q112" s="20">
        <v>15</v>
      </c>
      <c r="R112" s="21" t="s">
        <v>412</v>
      </c>
      <c r="S112" s="21" t="s">
        <v>38</v>
      </c>
      <c r="T112" s="22" t="s">
        <v>413</v>
      </c>
      <c r="U112" s="15">
        <v>46381</v>
      </c>
      <c r="V112" s="22"/>
      <c r="W112" s="22"/>
      <c r="X112" s="22"/>
      <c r="Y112" s="22"/>
      <c r="Z112" s="22"/>
      <c r="AA112" s="22"/>
    </row>
    <row r="113" s="3" customFormat="1" ht="28" spans="1:27">
      <c r="A113" s="11">
        <f>IF(H113="","",COUNTA($H$4:H113))</f>
        <v>110</v>
      </c>
      <c r="B113" s="11">
        <f t="shared" si="1"/>
        <v>7</v>
      </c>
      <c r="C113" s="11" t="s">
        <v>392</v>
      </c>
      <c r="D113" s="11" t="s">
        <v>407</v>
      </c>
      <c r="E113" s="11" t="s">
        <v>414</v>
      </c>
      <c r="F113" s="18" t="s">
        <v>414</v>
      </c>
      <c r="G113" s="11" t="s">
        <v>27</v>
      </c>
      <c r="H113" s="11" t="s">
        <v>28</v>
      </c>
      <c r="I113" s="11" t="s">
        <v>29</v>
      </c>
      <c r="J113" s="11" t="s">
        <v>52</v>
      </c>
      <c r="K113" s="11" t="s">
        <v>31</v>
      </c>
      <c r="L113" s="11" t="s">
        <v>54</v>
      </c>
      <c r="M113" s="19" t="s">
        <v>33</v>
      </c>
      <c r="N113" s="11" t="s">
        <v>34</v>
      </c>
      <c r="O113" s="19" t="s">
        <v>35</v>
      </c>
      <c r="P113" s="11" t="s">
        <v>36</v>
      </c>
      <c r="Q113" s="20">
        <v>15</v>
      </c>
      <c r="R113" s="21" t="s">
        <v>415</v>
      </c>
      <c r="S113" s="21" t="s">
        <v>38</v>
      </c>
      <c r="T113" s="22" t="s">
        <v>416</v>
      </c>
      <c r="U113" s="15">
        <v>46387</v>
      </c>
      <c r="V113" s="22"/>
      <c r="W113" s="22"/>
      <c r="X113" s="22"/>
      <c r="Y113" s="22"/>
      <c r="Z113" s="22"/>
      <c r="AA113" s="22"/>
    </row>
    <row r="114" s="3" customFormat="1" ht="28" spans="1:27">
      <c r="A114" s="11">
        <f>IF(H114="","",COUNTA($H$4:H114))</f>
        <v>111</v>
      </c>
      <c r="B114" s="11">
        <f t="shared" si="1"/>
        <v>8</v>
      </c>
      <c r="C114" s="11" t="s">
        <v>392</v>
      </c>
      <c r="D114" s="11" t="s">
        <v>407</v>
      </c>
      <c r="E114" s="11" t="s">
        <v>417</v>
      </c>
      <c r="F114" s="18" t="s">
        <v>417</v>
      </c>
      <c r="G114" s="11" t="s">
        <v>27</v>
      </c>
      <c r="H114" s="11" t="s">
        <v>28</v>
      </c>
      <c r="I114" s="11" t="s">
        <v>29</v>
      </c>
      <c r="J114" s="11" t="s">
        <v>85</v>
      </c>
      <c r="K114" s="11" t="s">
        <v>31</v>
      </c>
      <c r="L114" s="11" t="s">
        <v>32</v>
      </c>
      <c r="M114" s="19" t="s">
        <v>139</v>
      </c>
      <c r="N114" s="11" t="s">
        <v>69</v>
      </c>
      <c r="O114" s="19" t="s">
        <v>35</v>
      </c>
      <c r="P114" s="11" t="s">
        <v>70</v>
      </c>
      <c r="Q114" s="20">
        <v>15</v>
      </c>
      <c r="R114" s="21" t="s">
        <v>418</v>
      </c>
      <c r="S114" s="21" t="s">
        <v>38</v>
      </c>
      <c r="T114" s="22" t="s">
        <v>419</v>
      </c>
      <c r="U114" s="15">
        <v>46713</v>
      </c>
      <c r="V114" s="22"/>
      <c r="W114" s="22"/>
      <c r="X114" s="22"/>
      <c r="Y114" s="22"/>
      <c r="Z114" s="22"/>
      <c r="AA114" s="22"/>
    </row>
    <row r="115" s="3" customFormat="1" ht="28" spans="1:27">
      <c r="A115" s="11">
        <f>IF(H115="","",COUNTA($H$4:H115))</f>
        <v>112</v>
      </c>
      <c r="B115" s="11">
        <f t="shared" si="1"/>
        <v>9</v>
      </c>
      <c r="C115" s="11" t="s">
        <v>392</v>
      </c>
      <c r="D115" s="11" t="s">
        <v>407</v>
      </c>
      <c r="E115" s="11" t="s">
        <v>420</v>
      </c>
      <c r="F115" s="18" t="s">
        <v>420</v>
      </c>
      <c r="G115" s="11" t="s">
        <v>27</v>
      </c>
      <c r="H115" s="11" t="s">
        <v>28</v>
      </c>
      <c r="I115" s="11" t="s">
        <v>29</v>
      </c>
      <c r="J115" s="11" t="s">
        <v>30</v>
      </c>
      <c r="K115" s="11" t="s">
        <v>31</v>
      </c>
      <c r="L115" s="11" t="s">
        <v>54</v>
      </c>
      <c r="M115" s="19" t="s">
        <v>33</v>
      </c>
      <c r="N115" s="11" t="s">
        <v>34</v>
      </c>
      <c r="O115" s="19" t="s">
        <v>35</v>
      </c>
      <c r="P115" s="11" t="s">
        <v>36</v>
      </c>
      <c r="Q115" s="20">
        <v>15</v>
      </c>
      <c r="R115" s="31" t="s">
        <v>421</v>
      </c>
      <c r="S115" s="21" t="s">
        <v>38</v>
      </c>
      <c r="T115" s="22" t="s">
        <v>422</v>
      </c>
      <c r="U115" s="15">
        <v>46586</v>
      </c>
      <c r="V115" s="22"/>
      <c r="W115" s="22"/>
      <c r="X115" s="22"/>
      <c r="Y115" s="22"/>
      <c r="Z115" s="22"/>
      <c r="AA115" s="22"/>
    </row>
    <row r="116" s="3" customFormat="1" ht="28" spans="1:27">
      <c r="A116" s="11">
        <f>IF(H116="","",COUNTA($H$4:H116))</f>
        <v>113</v>
      </c>
      <c r="B116" s="11">
        <f t="shared" si="1"/>
        <v>10</v>
      </c>
      <c r="C116" s="11" t="s">
        <v>392</v>
      </c>
      <c r="D116" s="11" t="s">
        <v>393</v>
      </c>
      <c r="E116" s="11" t="s">
        <v>423</v>
      </c>
      <c r="F116" s="18" t="s">
        <v>423</v>
      </c>
      <c r="G116" s="11" t="s">
        <v>27</v>
      </c>
      <c r="H116" s="11" t="s">
        <v>28</v>
      </c>
      <c r="I116" s="11" t="s">
        <v>29</v>
      </c>
      <c r="J116" s="11" t="s">
        <v>52</v>
      </c>
      <c r="K116" s="11" t="s">
        <v>44</v>
      </c>
      <c r="L116" s="11" t="s">
        <v>138</v>
      </c>
      <c r="M116" s="19" t="s">
        <v>139</v>
      </c>
      <c r="N116" s="11" t="s">
        <v>69</v>
      </c>
      <c r="O116" s="19" t="s">
        <v>48</v>
      </c>
      <c r="P116" s="11" t="s">
        <v>70</v>
      </c>
      <c r="Q116" s="20">
        <v>21</v>
      </c>
      <c r="R116" s="21" t="s">
        <v>424</v>
      </c>
      <c r="S116" s="21" t="s">
        <v>56</v>
      </c>
      <c r="T116" s="22"/>
      <c r="U116" s="15"/>
      <c r="V116" s="22"/>
      <c r="W116" s="22"/>
      <c r="X116" s="22"/>
      <c r="Y116" s="22"/>
      <c r="Z116" s="22"/>
      <c r="AA116" s="22"/>
    </row>
    <row r="117" s="3" customFormat="1" ht="28" spans="1:27">
      <c r="A117" s="11">
        <f>IF(H117="","",COUNTA($H$4:H117))</f>
        <v>114</v>
      </c>
      <c r="B117" s="11">
        <f t="shared" si="1"/>
        <v>11</v>
      </c>
      <c r="C117" s="11" t="s">
        <v>392</v>
      </c>
      <c r="D117" s="11" t="s">
        <v>407</v>
      </c>
      <c r="E117" s="11" t="s">
        <v>425</v>
      </c>
      <c r="F117" s="18" t="s">
        <v>425</v>
      </c>
      <c r="G117" s="11" t="s">
        <v>27</v>
      </c>
      <c r="H117" s="11" t="s">
        <v>58</v>
      </c>
      <c r="I117" s="11" t="s">
        <v>29</v>
      </c>
      <c r="J117" s="11" t="s">
        <v>30</v>
      </c>
      <c r="K117" s="11" t="s">
        <v>53</v>
      </c>
      <c r="L117" s="11" t="s">
        <v>54</v>
      </c>
      <c r="M117" s="19" t="s">
        <v>33</v>
      </c>
      <c r="N117" s="11" t="s">
        <v>34</v>
      </c>
      <c r="O117" s="19" t="s">
        <v>35</v>
      </c>
      <c r="P117" s="11" t="s">
        <v>70</v>
      </c>
      <c r="Q117" s="20">
        <v>30</v>
      </c>
      <c r="R117" s="31" t="s">
        <v>426</v>
      </c>
      <c r="S117" s="21" t="s">
        <v>98</v>
      </c>
      <c r="T117" s="22"/>
      <c r="U117" s="15"/>
      <c r="V117" s="22" t="s">
        <v>99</v>
      </c>
      <c r="W117" s="22" t="s">
        <v>427</v>
      </c>
      <c r="X117" s="22">
        <v>30</v>
      </c>
      <c r="Y117" s="22">
        <v>25</v>
      </c>
      <c r="Z117" s="22" t="s">
        <v>176</v>
      </c>
      <c r="AA117" s="22"/>
    </row>
    <row r="118" s="3" customFormat="1" ht="28" spans="1:27">
      <c r="A118" s="11">
        <f>IF(H118="","",COUNTA($H$4:H118))</f>
        <v>115</v>
      </c>
      <c r="B118" s="11">
        <f t="shared" si="1"/>
        <v>12</v>
      </c>
      <c r="C118" s="11" t="s">
        <v>392</v>
      </c>
      <c r="D118" s="11" t="s">
        <v>407</v>
      </c>
      <c r="E118" s="11" t="s">
        <v>428</v>
      </c>
      <c r="F118" s="18" t="s">
        <v>428</v>
      </c>
      <c r="G118" s="11" t="s">
        <v>27</v>
      </c>
      <c r="H118" s="11" t="s">
        <v>58</v>
      </c>
      <c r="I118" s="11" t="s">
        <v>29</v>
      </c>
      <c r="J118" s="11" t="s">
        <v>30</v>
      </c>
      <c r="K118" s="11" t="s">
        <v>53</v>
      </c>
      <c r="L118" s="11" t="s">
        <v>54</v>
      </c>
      <c r="M118" s="19" t="s">
        <v>210</v>
      </c>
      <c r="N118" s="11" t="s">
        <v>120</v>
      </c>
      <c r="O118" s="19" t="s">
        <v>35</v>
      </c>
      <c r="P118" s="11" t="s">
        <v>36</v>
      </c>
      <c r="Q118" s="20">
        <v>30</v>
      </c>
      <c r="R118" s="21" t="s">
        <v>429</v>
      </c>
      <c r="S118" s="21" t="s">
        <v>98</v>
      </c>
      <c r="T118" s="22"/>
      <c r="U118" s="15"/>
      <c r="V118" s="22" t="s">
        <v>99</v>
      </c>
      <c r="W118" s="22" t="s">
        <v>430</v>
      </c>
      <c r="X118" s="22">
        <v>30</v>
      </c>
      <c r="Y118" s="22">
        <v>21</v>
      </c>
      <c r="Z118" s="22" t="s">
        <v>118</v>
      </c>
      <c r="AA118" s="22"/>
    </row>
    <row r="119" s="3" customFormat="1" ht="28" spans="1:27">
      <c r="A119" s="11">
        <f>IF(H119="","",COUNTA($H$4:H119))</f>
        <v>116</v>
      </c>
      <c r="B119" s="11">
        <f t="shared" si="1"/>
        <v>13</v>
      </c>
      <c r="C119" s="11" t="s">
        <v>392</v>
      </c>
      <c r="D119" s="11" t="s">
        <v>407</v>
      </c>
      <c r="E119" s="11" t="s">
        <v>431</v>
      </c>
      <c r="F119" s="18" t="s">
        <v>431</v>
      </c>
      <c r="G119" s="11" t="s">
        <v>27</v>
      </c>
      <c r="H119" s="11" t="s">
        <v>58</v>
      </c>
      <c r="I119" s="11" t="s">
        <v>29</v>
      </c>
      <c r="J119" s="11" t="s">
        <v>30</v>
      </c>
      <c r="K119" s="11" t="s">
        <v>53</v>
      </c>
      <c r="L119" s="11" t="s">
        <v>32</v>
      </c>
      <c r="M119" s="19" t="s">
        <v>33</v>
      </c>
      <c r="N119" s="11" t="s">
        <v>34</v>
      </c>
      <c r="O119" s="19" t="s">
        <v>48</v>
      </c>
      <c r="P119" s="11" t="s">
        <v>70</v>
      </c>
      <c r="Q119" s="20">
        <v>15</v>
      </c>
      <c r="R119" s="21" t="s">
        <v>432</v>
      </c>
      <c r="S119" s="21" t="s">
        <v>60</v>
      </c>
      <c r="T119" s="22"/>
      <c r="U119" s="15"/>
      <c r="V119" s="22"/>
      <c r="W119" s="22"/>
      <c r="X119" s="22"/>
      <c r="Y119" s="22"/>
      <c r="Z119" s="22"/>
      <c r="AA119" s="22"/>
    </row>
    <row r="120" s="3" customFormat="1" ht="28" spans="1:27">
      <c r="A120" s="11">
        <f>IF(H120="","",COUNTA($H$4:H120))</f>
        <v>117</v>
      </c>
      <c r="B120" s="11">
        <f t="shared" si="1"/>
        <v>14</v>
      </c>
      <c r="C120" s="11" t="s">
        <v>392</v>
      </c>
      <c r="D120" s="11" t="s">
        <v>407</v>
      </c>
      <c r="E120" s="11" t="s">
        <v>433</v>
      </c>
      <c r="F120" s="18" t="s">
        <v>433</v>
      </c>
      <c r="G120" s="11" t="s">
        <v>27</v>
      </c>
      <c r="H120" s="11" t="s">
        <v>58</v>
      </c>
      <c r="I120" s="11" t="s">
        <v>29</v>
      </c>
      <c r="J120" s="11" t="s">
        <v>30</v>
      </c>
      <c r="K120" s="11" t="s">
        <v>53</v>
      </c>
      <c r="L120" s="11" t="s">
        <v>54</v>
      </c>
      <c r="M120" s="19" t="s">
        <v>33</v>
      </c>
      <c r="N120" s="11" t="s">
        <v>34</v>
      </c>
      <c r="O120" s="19" t="s">
        <v>35</v>
      </c>
      <c r="P120" s="11" t="s">
        <v>36</v>
      </c>
      <c r="Q120" s="20">
        <v>30</v>
      </c>
      <c r="R120" s="21" t="s">
        <v>434</v>
      </c>
      <c r="S120" s="21" t="s">
        <v>107</v>
      </c>
      <c r="T120" s="22"/>
      <c r="U120" s="15"/>
      <c r="V120" s="22"/>
      <c r="W120" s="22"/>
      <c r="X120" s="22"/>
      <c r="Y120" s="22"/>
      <c r="Z120" s="22"/>
      <c r="AA120" s="22"/>
    </row>
    <row r="121" s="3" customFormat="1" ht="28" spans="1:27">
      <c r="A121" s="11">
        <f>IF(H121="","",COUNTA($H$4:H121))</f>
        <v>118</v>
      </c>
      <c r="B121" s="11">
        <f t="shared" si="1"/>
        <v>1</v>
      </c>
      <c r="C121" s="11" t="s">
        <v>435</v>
      </c>
      <c r="D121" s="11" t="s">
        <v>436</v>
      </c>
      <c r="E121" s="11" t="s">
        <v>437</v>
      </c>
      <c r="F121" s="28" t="s">
        <v>437</v>
      </c>
      <c r="G121" s="11" t="s">
        <v>67</v>
      </c>
      <c r="H121" s="11" t="s">
        <v>28</v>
      </c>
      <c r="I121" s="11" t="s">
        <v>29</v>
      </c>
      <c r="J121" s="11" t="s">
        <v>68</v>
      </c>
      <c r="K121" s="11" t="s">
        <v>78</v>
      </c>
      <c r="L121" s="11" t="s">
        <v>32</v>
      </c>
      <c r="M121" s="19" t="s">
        <v>33</v>
      </c>
      <c r="N121" s="11" t="s">
        <v>34</v>
      </c>
      <c r="O121" s="19" t="s">
        <v>35</v>
      </c>
      <c r="P121" s="11" t="s">
        <v>70</v>
      </c>
      <c r="Q121" s="20">
        <v>90</v>
      </c>
      <c r="R121" s="21" t="s">
        <v>438</v>
      </c>
      <c r="S121" s="21" t="s">
        <v>38</v>
      </c>
      <c r="T121" s="22" t="s">
        <v>439</v>
      </c>
      <c r="U121" s="15">
        <v>47088</v>
      </c>
      <c r="V121" s="22"/>
      <c r="W121" s="22"/>
      <c r="X121" s="22"/>
      <c r="Y121" s="22"/>
      <c r="Z121" s="22"/>
      <c r="AA121" s="22"/>
    </row>
    <row r="122" s="3" customFormat="1" ht="28" spans="1:27">
      <c r="A122" s="11">
        <f>IF(H122="","",COUNTA($H$4:H122))</f>
        <v>119</v>
      </c>
      <c r="B122" s="11">
        <f t="shared" si="1"/>
        <v>2</v>
      </c>
      <c r="C122" s="11" t="s">
        <v>435</v>
      </c>
      <c r="D122" s="11" t="s">
        <v>436</v>
      </c>
      <c r="E122" s="11" t="s">
        <v>440</v>
      </c>
      <c r="F122" s="28" t="s">
        <v>440</v>
      </c>
      <c r="G122" s="11" t="s">
        <v>67</v>
      </c>
      <c r="H122" s="11" t="s">
        <v>28</v>
      </c>
      <c r="I122" s="11" t="s">
        <v>29</v>
      </c>
      <c r="J122" s="11" t="s">
        <v>68</v>
      </c>
      <c r="K122" s="11" t="s">
        <v>31</v>
      </c>
      <c r="L122" s="11" t="s">
        <v>32</v>
      </c>
      <c r="M122" s="19" t="s">
        <v>33</v>
      </c>
      <c r="N122" s="11" t="s">
        <v>34</v>
      </c>
      <c r="O122" s="19" t="s">
        <v>35</v>
      </c>
      <c r="P122" s="11" t="s">
        <v>70</v>
      </c>
      <c r="Q122" s="20">
        <v>50</v>
      </c>
      <c r="R122" s="21" t="s">
        <v>441</v>
      </c>
      <c r="S122" s="21" t="s">
        <v>38</v>
      </c>
      <c r="T122" s="22" t="s">
        <v>442</v>
      </c>
      <c r="U122" s="15">
        <v>46545</v>
      </c>
      <c r="V122" s="22"/>
      <c r="W122" s="22"/>
      <c r="X122" s="22"/>
      <c r="Y122" s="22"/>
      <c r="Z122" s="22"/>
      <c r="AA122" s="22"/>
    </row>
    <row r="123" s="3" customFormat="1" ht="28" spans="1:27">
      <c r="A123" s="11">
        <f>IF(H123="","",COUNTA($H$4:H123))</f>
        <v>120</v>
      </c>
      <c r="B123" s="11">
        <f t="shared" si="1"/>
        <v>3</v>
      </c>
      <c r="C123" s="11" t="s">
        <v>435</v>
      </c>
      <c r="D123" s="11" t="s">
        <v>436</v>
      </c>
      <c r="E123" s="11" t="s">
        <v>443</v>
      </c>
      <c r="F123" s="28" t="s">
        <v>443</v>
      </c>
      <c r="G123" s="11" t="s">
        <v>67</v>
      </c>
      <c r="H123" s="11" t="s">
        <v>28</v>
      </c>
      <c r="I123" s="11" t="s">
        <v>29</v>
      </c>
      <c r="J123" s="11" t="s">
        <v>30</v>
      </c>
      <c r="K123" s="11" t="s">
        <v>31</v>
      </c>
      <c r="L123" s="11" t="s">
        <v>32</v>
      </c>
      <c r="M123" s="19" t="s">
        <v>210</v>
      </c>
      <c r="N123" s="11" t="s">
        <v>120</v>
      </c>
      <c r="O123" s="19" t="s">
        <v>35</v>
      </c>
      <c r="P123" s="11" t="s">
        <v>70</v>
      </c>
      <c r="Q123" s="20">
        <v>45</v>
      </c>
      <c r="R123" s="21" t="s">
        <v>444</v>
      </c>
      <c r="S123" s="21" t="s">
        <v>38</v>
      </c>
      <c r="T123" s="22" t="s">
        <v>445</v>
      </c>
      <c r="U123" s="15">
        <v>46677</v>
      </c>
      <c r="V123" s="22"/>
      <c r="W123" s="22"/>
      <c r="X123" s="22"/>
      <c r="Y123" s="22"/>
      <c r="Z123" s="22"/>
      <c r="AA123" s="22"/>
    </row>
    <row r="124" s="3" customFormat="1" ht="28" spans="1:27">
      <c r="A124" s="11">
        <f>IF(H124="","",COUNTA($H$4:H124))</f>
        <v>121</v>
      </c>
      <c r="B124" s="11">
        <f t="shared" si="1"/>
        <v>4</v>
      </c>
      <c r="C124" s="11" t="s">
        <v>435</v>
      </c>
      <c r="D124" s="11" t="s">
        <v>436</v>
      </c>
      <c r="E124" s="11" t="s">
        <v>446</v>
      </c>
      <c r="F124" s="28" t="s">
        <v>446</v>
      </c>
      <c r="G124" s="11" t="s">
        <v>67</v>
      </c>
      <c r="H124" s="11" t="s">
        <v>28</v>
      </c>
      <c r="I124" s="11" t="s">
        <v>29</v>
      </c>
      <c r="J124" s="11" t="s">
        <v>30</v>
      </c>
      <c r="K124" s="11" t="s">
        <v>31</v>
      </c>
      <c r="L124" s="11" t="s">
        <v>32</v>
      </c>
      <c r="M124" s="19" t="s">
        <v>33</v>
      </c>
      <c r="N124" s="11" t="s">
        <v>34</v>
      </c>
      <c r="O124" s="19" t="s">
        <v>35</v>
      </c>
      <c r="P124" s="11" t="s">
        <v>70</v>
      </c>
      <c r="Q124" s="20">
        <v>60</v>
      </c>
      <c r="R124" s="21" t="s">
        <v>447</v>
      </c>
      <c r="S124" s="21" t="s">
        <v>38</v>
      </c>
      <c r="T124" s="22" t="s">
        <v>448</v>
      </c>
      <c r="U124" s="15">
        <v>46677</v>
      </c>
      <c r="V124" s="22"/>
      <c r="W124" s="22"/>
      <c r="X124" s="22"/>
      <c r="Y124" s="22"/>
      <c r="Z124" s="22"/>
      <c r="AA124" s="22"/>
    </row>
    <row r="125" s="3" customFormat="1" ht="42" spans="1:27">
      <c r="A125" s="11">
        <f>IF(H125="","",COUNTA($H$4:H125))</f>
        <v>122</v>
      </c>
      <c r="B125" s="11">
        <f t="shared" si="1"/>
        <v>5</v>
      </c>
      <c r="C125" s="11" t="s">
        <v>435</v>
      </c>
      <c r="D125" s="11" t="s">
        <v>449</v>
      </c>
      <c r="E125" s="11" t="s">
        <v>450</v>
      </c>
      <c r="F125" s="28" t="s">
        <v>450</v>
      </c>
      <c r="G125" s="11" t="s">
        <v>67</v>
      </c>
      <c r="H125" s="11" t="s">
        <v>28</v>
      </c>
      <c r="I125" s="11" t="s">
        <v>29</v>
      </c>
      <c r="J125" s="11" t="s">
        <v>68</v>
      </c>
      <c r="K125" s="11" t="s">
        <v>31</v>
      </c>
      <c r="L125" s="11" t="s">
        <v>32</v>
      </c>
      <c r="M125" s="19" t="s">
        <v>33</v>
      </c>
      <c r="N125" s="11" t="s">
        <v>34</v>
      </c>
      <c r="O125" s="19" t="s">
        <v>35</v>
      </c>
      <c r="P125" s="11" t="s">
        <v>70</v>
      </c>
      <c r="Q125" s="20">
        <v>45</v>
      </c>
      <c r="R125" s="21" t="s">
        <v>451</v>
      </c>
      <c r="S125" s="21" t="s">
        <v>38</v>
      </c>
      <c r="T125" s="22" t="s">
        <v>452</v>
      </c>
      <c r="U125" s="15">
        <v>46979</v>
      </c>
      <c r="V125" s="22"/>
      <c r="W125" s="22"/>
      <c r="X125" s="22"/>
      <c r="Y125" s="22"/>
      <c r="Z125" s="22"/>
      <c r="AA125" s="22"/>
    </row>
    <row r="126" s="3" customFormat="1" ht="28" spans="1:27">
      <c r="A126" s="11">
        <f>IF(H126="","",COUNTA($H$4:H126))</f>
        <v>123</v>
      </c>
      <c r="B126" s="11">
        <f t="shared" si="1"/>
        <v>6</v>
      </c>
      <c r="C126" s="11" t="s">
        <v>435</v>
      </c>
      <c r="D126" s="11" t="s">
        <v>449</v>
      </c>
      <c r="E126" s="11" t="s">
        <v>453</v>
      </c>
      <c r="F126" s="18" t="s">
        <v>453</v>
      </c>
      <c r="G126" s="11" t="s">
        <v>27</v>
      </c>
      <c r="H126" s="11" t="s">
        <v>28</v>
      </c>
      <c r="I126" s="11" t="s">
        <v>29</v>
      </c>
      <c r="J126" s="11" t="s">
        <v>85</v>
      </c>
      <c r="K126" s="11" t="s">
        <v>31</v>
      </c>
      <c r="L126" s="11" t="s">
        <v>54</v>
      </c>
      <c r="M126" s="19" t="s">
        <v>33</v>
      </c>
      <c r="N126" s="11" t="s">
        <v>34</v>
      </c>
      <c r="O126" s="19" t="s">
        <v>35</v>
      </c>
      <c r="P126" s="11" t="s">
        <v>36</v>
      </c>
      <c r="Q126" s="20">
        <v>30</v>
      </c>
      <c r="R126" s="21" t="s">
        <v>454</v>
      </c>
      <c r="S126" s="21" t="s">
        <v>38</v>
      </c>
      <c r="T126" s="22" t="s">
        <v>455</v>
      </c>
      <c r="U126" s="15">
        <v>46500</v>
      </c>
      <c r="V126" s="22"/>
      <c r="W126" s="22"/>
      <c r="X126" s="22"/>
      <c r="Y126" s="22"/>
      <c r="Z126" s="22"/>
      <c r="AA126" s="22"/>
    </row>
    <row r="127" s="3" customFormat="1" ht="28" spans="1:27">
      <c r="A127" s="11">
        <f>IF(H127="","",COUNTA($H$4:H127))</f>
        <v>124</v>
      </c>
      <c r="B127" s="11">
        <f t="shared" si="1"/>
        <v>7</v>
      </c>
      <c r="C127" s="11" t="s">
        <v>435</v>
      </c>
      <c r="D127" s="11" t="s">
        <v>456</v>
      </c>
      <c r="E127" s="11" t="s">
        <v>457</v>
      </c>
      <c r="F127" s="18" t="s">
        <v>457</v>
      </c>
      <c r="G127" s="11" t="s">
        <v>27</v>
      </c>
      <c r="H127" s="11" t="s">
        <v>28</v>
      </c>
      <c r="I127" s="11" t="s">
        <v>29</v>
      </c>
      <c r="J127" s="11" t="s">
        <v>458</v>
      </c>
      <c r="K127" s="11" t="s">
        <v>53</v>
      </c>
      <c r="L127" s="11" t="s">
        <v>54</v>
      </c>
      <c r="M127" s="19" t="s">
        <v>139</v>
      </c>
      <c r="N127" s="11" t="s">
        <v>69</v>
      </c>
      <c r="O127" s="19" t="s">
        <v>35</v>
      </c>
      <c r="P127" s="24" t="s">
        <v>36</v>
      </c>
      <c r="Q127" s="20">
        <v>30</v>
      </c>
      <c r="R127" s="31" t="s">
        <v>459</v>
      </c>
      <c r="S127" s="21" t="s">
        <v>38</v>
      </c>
      <c r="T127" s="22" t="s">
        <v>460</v>
      </c>
      <c r="U127" s="15">
        <v>46319</v>
      </c>
      <c r="V127" s="22"/>
      <c r="W127" s="22"/>
      <c r="X127" s="22"/>
      <c r="Y127" s="22"/>
      <c r="Z127" s="22"/>
      <c r="AA127" s="22"/>
    </row>
    <row r="128" s="3" customFormat="1" ht="28" spans="1:27">
      <c r="A128" s="11">
        <f>IF(H128="","",COUNTA($H$4:H128))</f>
        <v>125</v>
      </c>
      <c r="B128" s="11">
        <f t="shared" si="1"/>
        <v>8</v>
      </c>
      <c r="C128" s="11" t="s">
        <v>435</v>
      </c>
      <c r="D128" s="11" t="s">
        <v>461</v>
      </c>
      <c r="E128" s="11" t="s">
        <v>462</v>
      </c>
      <c r="F128" s="18" t="s">
        <v>462</v>
      </c>
      <c r="G128" s="11" t="s">
        <v>27</v>
      </c>
      <c r="H128" s="11" t="s">
        <v>28</v>
      </c>
      <c r="I128" s="11" t="s">
        <v>29</v>
      </c>
      <c r="J128" s="11" t="s">
        <v>68</v>
      </c>
      <c r="K128" s="11" t="s">
        <v>31</v>
      </c>
      <c r="L128" s="11" t="s">
        <v>54</v>
      </c>
      <c r="M128" s="19" t="s">
        <v>33</v>
      </c>
      <c r="N128" s="11" t="s">
        <v>34</v>
      </c>
      <c r="O128" s="19" t="s">
        <v>35</v>
      </c>
      <c r="P128" s="11" t="s">
        <v>36</v>
      </c>
      <c r="Q128" s="20">
        <v>45</v>
      </c>
      <c r="R128" s="31" t="s">
        <v>463</v>
      </c>
      <c r="S128" s="21" t="s">
        <v>38</v>
      </c>
      <c r="T128" s="22" t="s">
        <v>464</v>
      </c>
      <c r="U128" s="15">
        <v>46228</v>
      </c>
      <c r="V128" s="22"/>
      <c r="W128" s="22"/>
      <c r="X128" s="22"/>
      <c r="Y128" s="22"/>
      <c r="Z128" s="22"/>
      <c r="AA128" s="22"/>
    </row>
    <row r="129" s="3" customFormat="1" ht="28" spans="1:28">
      <c r="A129" s="11">
        <f>IF(H129="","",COUNTA($H$4:H129))</f>
        <v>126</v>
      </c>
      <c r="B129" s="11">
        <f t="shared" si="1"/>
        <v>9</v>
      </c>
      <c r="C129" s="11" t="s">
        <v>435</v>
      </c>
      <c r="D129" s="11" t="s">
        <v>465</v>
      </c>
      <c r="E129" s="11" t="s">
        <v>466</v>
      </c>
      <c r="F129" s="18" t="s">
        <v>466</v>
      </c>
      <c r="G129" s="11" t="s">
        <v>27</v>
      </c>
      <c r="H129" s="11" t="s">
        <v>28</v>
      </c>
      <c r="I129" s="11" t="s">
        <v>110</v>
      </c>
      <c r="J129" s="11" t="s">
        <v>458</v>
      </c>
      <c r="K129" s="11" t="s">
        <v>31</v>
      </c>
      <c r="L129" s="11" t="s">
        <v>54</v>
      </c>
      <c r="M129" s="19" t="s">
        <v>33</v>
      </c>
      <c r="N129" s="11" t="s">
        <v>34</v>
      </c>
      <c r="O129" s="19" t="s">
        <v>35</v>
      </c>
      <c r="P129" s="11" t="s">
        <v>36</v>
      </c>
      <c r="Q129" s="20">
        <v>30</v>
      </c>
      <c r="R129" s="21" t="s">
        <v>467</v>
      </c>
      <c r="S129" s="21" t="s">
        <v>38</v>
      </c>
      <c r="T129" s="22" t="s">
        <v>468</v>
      </c>
      <c r="U129" s="15">
        <v>46778</v>
      </c>
      <c r="V129" s="22"/>
      <c r="W129" s="22"/>
      <c r="X129" s="22"/>
      <c r="Y129" s="22"/>
      <c r="Z129" s="22"/>
      <c r="AA129" s="22"/>
    </row>
    <row r="130" s="3" customFormat="1" ht="28" spans="1:28">
      <c r="A130" s="11">
        <f>IF(H130="","",COUNTA($H$4:H130))</f>
        <v>127</v>
      </c>
      <c r="B130" s="11">
        <f t="shared" si="1"/>
        <v>10</v>
      </c>
      <c r="C130" s="11" t="s">
        <v>435</v>
      </c>
      <c r="D130" s="11" t="s">
        <v>436</v>
      </c>
      <c r="E130" s="11" t="s">
        <v>469</v>
      </c>
      <c r="F130" s="18" t="s">
        <v>469</v>
      </c>
      <c r="G130" s="11" t="s">
        <v>27</v>
      </c>
      <c r="H130" s="11" t="s">
        <v>28</v>
      </c>
      <c r="I130" s="11" t="s">
        <v>29</v>
      </c>
      <c r="J130" s="11" t="s">
        <v>52</v>
      </c>
      <c r="K130" s="11" t="s">
        <v>31</v>
      </c>
      <c r="L130" s="11" t="s">
        <v>54</v>
      </c>
      <c r="M130" s="19" t="s">
        <v>33</v>
      </c>
      <c r="N130" s="11" t="s">
        <v>34</v>
      </c>
      <c r="O130" s="19" t="s">
        <v>35</v>
      </c>
      <c r="P130" s="11" t="s">
        <v>70</v>
      </c>
      <c r="Q130" s="20">
        <v>30</v>
      </c>
      <c r="R130" s="21" t="s">
        <v>470</v>
      </c>
      <c r="S130" s="21" t="s">
        <v>38</v>
      </c>
      <c r="T130" s="22" t="s">
        <v>471</v>
      </c>
      <c r="U130" s="15">
        <v>46773</v>
      </c>
      <c r="V130" s="22"/>
      <c r="W130" s="22"/>
      <c r="X130" s="22"/>
      <c r="Y130" s="22"/>
      <c r="Z130" s="22"/>
      <c r="AA130" s="22"/>
    </row>
    <row r="131" s="3" customFormat="1" ht="28" spans="1:28">
      <c r="A131" s="11">
        <f>IF(H131="","",COUNTA($H$4:H131))</f>
        <v>128</v>
      </c>
      <c r="B131" s="11">
        <f t="shared" si="1"/>
        <v>11</v>
      </c>
      <c r="C131" s="11" t="s">
        <v>435</v>
      </c>
      <c r="D131" s="11" t="s">
        <v>461</v>
      </c>
      <c r="E131" s="11" t="s">
        <v>472</v>
      </c>
      <c r="F131" s="18" t="s">
        <v>472</v>
      </c>
      <c r="G131" s="11" t="s">
        <v>27</v>
      </c>
      <c r="H131" s="11" t="s">
        <v>28</v>
      </c>
      <c r="I131" s="11" t="s">
        <v>29</v>
      </c>
      <c r="J131" s="11" t="s">
        <v>30</v>
      </c>
      <c r="K131" s="11" t="s">
        <v>53</v>
      </c>
      <c r="L131" s="11" t="s">
        <v>54</v>
      </c>
      <c r="M131" s="19" t="s">
        <v>33</v>
      </c>
      <c r="N131" s="11" t="s">
        <v>34</v>
      </c>
      <c r="O131" s="19" t="s">
        <v>35</v>
      </c>
      <c r="P131" s="11" t="s">
        <v>36</v>
      </c>
      <c r="Q131" s="20">
        <v>30</v>
      </c>
      <c r="R131" s="31" t="s">
        <v>473</v>
      </c>
      <c r="S131" s="32" t="s">
        <v>244</v>
      </c>
      <c r="T131" s="25" t="s">
        <v>474</v>
      </c>
      <c r="U131" s="26">
        <v>47110</v>
      </c>
      <c r="V131" s="22"/>
      <c r="W131" s="22"/>
      <c r="X131" s="22"/>
      <c r="Y131" s="22"/>
      <c r="Z131" s="22"/>
      <c r="AA131" s="22"/>
      <c r="AB131" s="33" t="s">
        <v>291</v>
      </c>
    </row>
    <row r="132" s="3" customFormat="1" ht="28" spans="1:28">
      <c r="A132" s="11">
        <f>IF(H132="","",COUNTA($H$4:H132))</f>
        <v>129</v>
      </c>
      <c r="B132" s="11">
        <f t="shared" si="1"/>
        <v>12</v>
      </c>
      <c r="C132" s="11" t="s">
        <v>435</v>
      </c>
      <c r="D132" s="11" t="s">
        <v>436</v>
      </c>
      <c r="E132" s="11" t="s">
        <v>475</v>
      </c>
      <c r="F132" s="18" t="s">
        <v>476</v>
      </c>
      <c r="G132" s="11" t="s">
        <v>27</v>
      </c>
      <c r="H132" s="11" t="s">
        <v>58</v>
      </c>
      <c r="I132" s="11" t="s">
        <v>29</v>
      </c>
      <c r="J132" s="11" t="s">
        <v>30</v>
      </c>
      <c r="K132" s="11" t="s">
        <v>53</v>
      </c>
      <c r="L132" s="11" t="s">
        <v>54</v>
      </c>
      <c r="M132" s="19" t="s">
        <v>33</v>
      </c>
      <c r="N132" s="11" t="s">
        <v>69</v>
      </c>
      <c r="O132" s="19" t="s">
        <v>35</v>
      </c>
      <c r="P132" s="11" t="s">
        <v>36</v>
      </c>
      <c r="Q132" s="20">
        <v>30</v>
      </c>
      <c r="R132" s="31" t="s">
        <v>477</v>
      </c>
      <c r="S132" s="21" t="s">
        <v>60</v>
      </c>
      <c r="T132" s="22"/>
      <c r="U132" s="15"/>
      <c r="V132" s="22"/>
      <c r="W132" s="22"/>
      <c r="X132" s="22"/>
      <c r="Y132" s="22"/>
      <c r="Z132" s="22"/>
      <c r="AA132" s="22"/>
    </row>
    <row r="133" s="3" customFormat="1" ht="28" spans="1:28">
      <c r="A133" s="11">
        <f>IF(H133="","",COUNTA($H$4:H133))</f>
        <v>130</v>
      </c>
      <c r="B133" s="11">
        <f t="shared" ref="B133:B177" si="2">IF(C133=C132,B132+1,1)</f>
        <v>13</v>
      </c>
      <c r="C133" s="11" t="s">
        <v>435</v>
      </c>
      <c r="D133" s="11" t="s">
        <v>436</v>
      </c>
      <c r="E133" s="11" t="s">
        <v>478</v>
      </c>
      <c r="F133" s="18" t="s">
        <v>478</v>
      </c>
      <c r="G133" s="11" t="s">
        <v>27</v>
      </c>
      <c r="H133" s="11" t="s">
        <v>58</v>
      </c>
      <c r="I133" s="11" t="s">
        <v>29</v>
      </c>
      <c r="J133" s="11" t="s">
        <v>90</v>
      </c>
      <c r="K133" s="11" t="s">
        <v>53</v>
      </c>
      <c r="L133" s="11" t="s">
        <v>54</v>
      </c>
      <c r="M133" s="19" t="s">
        <v>33</v>
      </c>
      <c r="N133" s="11" t="s">
        <v>34</v>
      </c>
      <c r="O133" s="19" t="s">
        <v>35</v>
      </c>
      <c r="P133" s="11" t="s">
        <v>70</v>
      </c>
      <c r="Q133" s="20">
        <v>9</v>
      </c>
      <c r="R133" s="21" t="s">
        <v>479</v>
      </c>
      <c r="S133" s="21" t="s">
        <v>63</v>
      </c>
      <c r="T133" s="22"/>
      <c r="U133" s="15"/>
      <c r="V133" s="22"/>
      <c r="W133" s="22"/>
      <c r="X133" s="22"/>
      <c r="Y133" s="22"/>
      <c r="Z133" s="22"/>
      <c r="AA133" s="22"/>
    </row>
    <row r="134" s="3" customFormat="1" ht="28" spans="1:28">
      <c r="A134" s="11">
        <f>IF(H134="","",COUNTA($H$4:H134))</f>
        <v>131</v>
      </c>
      <c r="B134" s="11">
        <f t="shared" si="2"/>
        <v>14</v>
      </c>
      <c r="C134" s="11" t="s">
        <v>435</v>
      </c>
      <c r="D134" s="11" t="s">
        <v>436</v>
      </c>
      <c r="E134" s="11" t="s">
        <v>480</v>
      </c>
      <c r="F134" s="18" t="s">
        <v>480</v>
      </c>
      <c r="G134" s="11" t="s">
        <v>27</v>
      </c>
      <c r="H134" s="11" t="s">
        <v>58</v>
      </c>
      <c r="I134" s="11" t="s">
        <v>29</v>
      </c>
      <c r="J134" s="11" t="s">
        <v>90</v>
      </c>
      <c r="K134" s="11" t="s">
        <v>53</v>
      </c>
      <c r="L134" s="11" t="s">
        <v>54</v>
      </c>
      <c r="M134" s="19" t="s">
        <v>33</v>
      </c>
      <c r="N134" s="11" t="s">
        <v>34</v>
      </c>
      <c r="O134" s="19" t="s">
        <v>35</v>
      </c>
      <c r="P134" s="11" t="s">
        <v>70</v>
      </c>
      <c r="Q134" s="20">
        <v>9</v>
      </c>
      <c r="R134" s="21" t="s">
        <v>481</v>
      </c>
      <c r="S134" s="21" t="s">
        <v>63</v>
      </c>
      <c r="T134" s="22"/>
      <c r="U134" s="15"/>
      <c r="V134" s="22"/>
      <c r="W134" s="22"/>
      <c r="X134" s="22"/>
      <c r="Y134" s="22"/>
      <c r="Z134" s="22"/>
      <c r="AA134" s="22"/>
    </row>
    <row r="135" s="3" customFormat="1" ht="45" customHeight="1" spans="1:28">
      <c r="A135" s="11">
        <f>IF(H135="","",COUNTA($H$4:H135))</f>
        <v>132</v>
      </c>
      <c r="B135" s="11">
        <f t="shared" si="2"/>
        <v>15</v>
      </c>
      <c r="C135" s="11" t="s">
        <v>435</v>
      </c>
      <c r="D135" s="11" t="s">
        <v>436</v>
      </c>
      <c r="E135" s="11" t="s">
        <v>482</v>
      </c>
      <c r="F135" s="18" t="s">
        <v>482</v>
      </c>
      <c r="G135" s="11" t="s">
        <v>27</v>
      </c>
      <c r="H135" s="11" t="s">
        <v>28</v>
      </c>
      <c r="I135" s="11" t="s">
        <v>29</v>
      </c>
      <c r="J135" s="11" t="s">
        <v>30</v>
      </c>
      <c r="K135" s="11" t="s">
        <v>53</v>
      </c>
      <c r="L135" s="11" t="s">
        <v>54</v>
      </c>
      <c r="M135" s="36" t="s">
        <v>139</v>
      </c>
      <c r="N135" s="11" t="s">
        <v>69</v>
      </c>
      <c r="O135" s="19" t="s">
        <v>35</v>
      </c>
      <c r="P135" s="11" t="s">
        <v>70</v>
      </c>
      <c r="Q135" s="20">
        <v>30</v>
      </c>
      <c r="R135" s="21" t="s">
        <v>483</v>
      </c>
      <c r="S135" s="32" t="s">
        <v>244</v>
      </c>
      <c r="T135" s="25" t="s">
        <v>484</v>
      </c>
      <c r="U135" s="26">
        <v>47110</v>
      </c>
      <c r="V135" s="22"/>
      <c r="W135" s="22"/>
      <c r="X135" s="22"/>
      <c r="Y135" s="22"/>
      <c r="Z135" s="22"/>
      <c r="AA135" s="22"/>
      <c r="AB135" s="33" t="s">
        <v>291</v>
      </c>
    </row>
    <row r="136" s="3" customFormat="1" ht="28" spans="1:28">
      <c r="A136" s="11">
        <f>IF(H136="","",COUNTA($H$4:H136))</f>
        <v>133</v>
      </c>
      <c r="B136" s="11">
        <f t="shared" si="2"/>
        <v>16</v>
      </c>
      <c r="C136" s="11" t="s">
        <v>435</v>
      </c>
      <c r="D136" s="11" t="s">
        <v>449</v>
      </c>
      <c r="E136" s="11" t="s">
        <v>485</v>
      </c>
      <c r="F136" s="18" t="s">
        <v>485</v>
      </c>
      <c r="G136" s="11" t="s">
        <v>27</v>
      </c>
      <c r="H136" s="11" t="s">
        <v>58</v>
      </c>
      <c r="I136" s="11" t="s">
        <v>29</v>
      </c>
      <c r="J136" s="11" t="s">
        <v>30</v>
      </c>
      <c r="K136" s="11" t="s">
        <v>53</v>
      </c>
      <c r="L136" s="11" t="s">
        <v>54</v>
      </c>
      <c r="M136" s="19" t="s">
        <v>33</v>
      </c>
      <c r="N136" s="11" t="s">
        <v>34</v>
      </c>
      <c r="O136" s="19" t="s">
        <v>35</v>
      </c>
      <c r="P136" s="11" t="s">
        <v>36</v>
      </c>
      <c r="Q136" s="20">
        <v>30</v>
      </c>
      <c r="R136" s="31" t="s">
        <v>486</v>
      </c>
      <c r="S136" s="21" t="s">
        <v>98</v>
      </c>
      <c r="T136" s="22"/>
      <c r="U136" s="15"/>
      <c r="V136" s="22" t="s">
        <v>99</v>
      </c>
      <c r="W136" s="22" t="s">
        <v>487</v>
      </c>
      <c r="X136" s="22">
        <v>30</v>
      </c>
      <c r="Y136" s="22">
        <v>21</v>
      </c>
      <c r="Z136" s="22" t="s">
        <v>118</v>
      </c>
      <c r="AA136" s="22"/>
    </row>
    <row r="137" s="3" customFormat="1" ht="28" spans="1:28">
      <c r="A137" s="11">
        <f>IF(H137="","",COUNTA($H$4:H137))</f>
        <v>134</v>
      </c>
      <c r="B137" s="11">
        <f t="shared" si="2"/>
        <v>17</v>
      </c>
      <c r="C137" s="11" t="s">
        <v>435</v>
      </c>
      <c r="D137" s="11" t="s">
        <v>449</v>
      </c>
      <c r="E137" s="11" t="s">
        <v>488</v>
      </c>
      <c r="F137" s="18" t="s">
        <v>488</v>
      </c>
      <c r="G137" s="11" t="s">
        <v>27</v>
      </c>
      <c r="H137" s="11" t="s">
        <v>58</v>
      </c>
      <c r="I137" s="11" t="s">
        <v>29</v>
      </c>
      <c r="J137" s="11" t="s">
        <v>347</v>
      </c>
      <c r="K137" s="11" t="s">
        <v>53</v>
      </c>
      <c r="L137" s="11" t="s">
        <v>54</v>
      </c>
      <c r="M137" s="19" t="s">
        <v>33</v>
      </c>
      <c r="N137" s="11" t="s">
        <v>34</v>
      </c>
      <c r="O137" s="19" t="s">
        <v>35</v>
      </c>
      <c r="P137" s="11" t="s">
        <v>36</v>
      </c>
      <c r="Q137" s="20">
        <v>30</v>
      </c>
      <c r="R137" s="31" t="s">
        <v>489</v>
      </c>
      <c r="S137" s="21" t="s">
        <v>98</v>
      </c>
      <c r="T137" s="22"/>
      <c r="U137" s="15"/>
      <c r="V137" s="22" t="s">
        <v>99</v>
      </c>
      <c r="W137" s="22" t="s">
        <v>490</v>
      </c>
      <c r="X137" s="22">
        <v>30</v>
      </c>
      <c r="Y137" s="22">
        <v>21</v>
      </c>
      <c r="Z137" s="22" t="s">
        <v>118</v>
      </c>
      <c r="AA137" s="22"/>
    </row>
    <row r="138" s="3" customFormat="1" ht="28" spans="1:28">
      <c r="A138" s="11">
        <f>IF(H138="","",COUNTA($H$4:H138))</f>
        <v>135</v>
      </c>
      <c r="B138" s="11">
        <f t="shared" si="2"/>
        <v>18</v>
      </c>
      <c r="C138" s="11" t="s">
        <v>435</v>
      </c>
      <c r="D138" s="11" t="s">
        <v>449</v>
      </c>
      <c r="E138" s="11" t="s">
        <v>491</v>
      </c>
      <c r="F138" s="18" t="s">
        <v>491</v>
      </c>
      <c r="G138" s="11" t="s">
        <v>27</v>
      </c>
      <c r="H138" s="11" t="s">
        <v>58</v>
      </c>
      <c r="I138" s="11" t="s">
        <v>29</v>
      </c>
      <c r="J138" s="11" t="s">
        <v>347</v>
      </c>
      <c r="K138" s="11" t="s">
        <v>53</v>
      </c>
      <c r="L138" s="11" t="s">
        <v>54</v>
      </c>
      <c r="M138" s="19" t="s">
        <v>210</v>
      </c>
      <c r="N138" s="11" t="s">
        <v>34</v>
      </c>
      <c r="O138" s="19" t="s">
        <v>35</v>
      </c>
      <c r="P138" s="11" t="s">
        <v>70</v>
      </c>
      <c r="Q138" s="20">
        <v>30</v>
      </c>
      <c r="R138" s="31" t="s">
        <v>492</v>
      </c>
      <c r="S138" s="21" t="s">
        <v>98</v>
      </c>
      <c r="T138" s="22"/>
      <c r="U138" s="15"/>
      <c r="V138" s="22" t="s">
        <v>99</v>
      </c>
      <c r="W138" s="22" t="s">
        <v>493</v>
      </c>
      <c r="X138" s="22">
        <v>30</v>
      </c>
      <c r="Y138" s="22">
        <v>21</v>
      </c>
      <c r="Z138" s="22" t="s">
        <v>118</v>
      </c>
      <c r="AA138" s="22"/>
    </row>
    <row r="139" s="3" customFormat="1" ht="28" spans="1:28">
      <c r="A139" s="11">
        <f>IF(H139="","",COUNTA($H$4:H139))</f>
        <v>136</v>
      </c>
      <c r="B139" s="11">
        <f t="shared" si="2"/>
        <v>19</v>
      </c>
      <c r="C139" s="11" t="s">
        <v>435</v>
      </c>
      <c r="D139" s="11" t="s">
        <v>449</v>
      </c>
      <c r="E139" s="11" t="s">
        <v>494</v>
      </c>
      <c r="F139" s="18" t="s">
        <v>494</v>
      </c>
      <c r="G139" s="11" t="s">
        <v>27</v>
      </c>
      <c r="H139" s="11" t="s">
        <v>58</v>
      </c>
      <c r="I139" s="11" t="s">
        <v>29</v>
      </c>
      <c r="J139" s="11" t="s">
        <v>30</v>
      </c>
      <c r="K139" s="11" t="s">
        <v>53</v>
      </c>
      <c r="L139" s="11" t="s">
        <v>54</v>
      </c>
      <c r="M139" s="19" t="s">
        <v>33</v>
      </c>
      <c r="N139" s="11" t="s">
        <v>69</v>
      </c>
      <c r="O139" s="19" t="s">
        <v>35</v>
      </c>
      <c r="P139" s="11" t="s">
        <v>70</v>
      </c>
      <c r="Q139" s="20">
        <v>30</v>
      </c>
      <c r="R139" s="31" t="s">
        <v>495</v>
      </c>
      <c r="S139" s="21" t="s">
        <v>98</v>
      </c>
      <c r="T139" s="22"/>
      <c r="U139" s="15"/>
      <c r="V139" s="22" t="s">
        <v>99</v>
      </c>
      <c r="W139" s="22" t="s">
        <v>496</v>
      </c>
      <c r="X139" s="22">
        <v>30</v>
      </c>
      <c r="Y139" s="22">
        <v>15</v>
      </c>
      <c r="Z139" s="22" t="s">
        <v>118</v>
      </c>
      <c r="AA139" s="22"/>
    </row>
    <row r="140" s="3" customFormat="1" ht="28" spans="1:28">
      <c r="A140" s="11">
        <f>IF(H140="","",COUNTA($H$4:H140))</f>
        <v>137</v>
      </c>
      <c r="B140" s="11">
        <f t="shared" si="2"/>
        <v>20</v>
      </c>
      <c r="C140" s="11" t="s">
        <v>435</v>
      </c>
      <c r="D140" s="11" t="s">
        <v>456</v>
      </c>
      <c r="E140" s="11" t="s">
        <v>497</v>
      </c>
      <c r="F140" s="18" t="s">
        <v>497</v>
      </c>
      <c r="G140" s="11" t="s">
        <v>27</v>
      </c>
      <c r="H140" s="11" t="s">
        <v>58</v>
      </c>
      <c r="I140" s="11" t="s">
        <v>29</v>
      </c>
      <c r="J140" s="24" t="s">
        <v>30</v>
      </c>
      <c r="K140" s="11" t="s">
        <v>53</v>
      </c>
      <c r="L140" s="11" t="s">
        <v>54</v>
      </c>
      <c r="M140" s="19" t="s">
        <v>33</v>
      </c>
      <c r="N140" s="11" t="s">
        <v>34</v>
      </c>
      <c r="O140" s="19" t="s">
        <v>35</v>
      </c>
      <c r="P140" s="24" t="s">
        <v>36</v>
      </c>
      <c r="Q140" s="20">
        <v>30</v>
      </c>
      <c r="R140" s="31" t="s">
        <v>498</v>
      </c>
      <c r="S140" s="21" t="s">
        <v>98</v>
      </c>
      <c r="T140" s="22"/>
      <c r="U140" s="15"/>
      <c r="V140" s="22" t="s">
        <v>99</v>
      </c>
      <c r="W140" s="22" t="s">
        <v>499</v>
      </c>
      <c r="X140" s="22">
        <v>30</v>
      </c>
      <c r="Y140" s="22">
        <v>21</v>
      </c>
      <c r="Z140" s="22" t="s">
        <v>118</v>
      </c>
      <c r="AA140" s="22"/>
    </row>
    <row r="141" s="3" customFormat="1" ht="28" spans="1:28">
      <c r="A141" s="11">
        <f>IF(H141="","",COUNTA($H$4:H141))</f>
        <v>138</v>
      </c>
      <c r="B141" s="11">
        <f t="shared" si="2"/>
        <v>21</v>
      </c>
      <c r="C141" s="11" t="s">
        <v>435</v>
      </c>
      <c r="D141" s="11" t="s">
        <v>456</v>
      </c>
      <c r="E141" s="11" t="s">
        <v>500</v>
      </c>
      <c r="F141" s="35" t="s">
        <v>501</v>
      </c>
      <c r="G141" s="24" t="s">
        <v>27</v>
      </c>
      <c r="H141" s="11" t="s">
        <v>58</v>
      </c>
      <c r="I141" s="11" t="s">
        <v>29</v>
      </c>
      <c r="J141" s="11" t="s">
        <v>30</v>
      </c>
      <c r="K141" s="11" t="s">
        <v>53</v>
      </c>
      <c r="L141" s="11" t="s">
        <v>54</v>
      </c>
      <c r="M141" s="19" t="s">
        <v>210</v>
      </c>
      <c r="N141" s="11" t="s">
        <v>34</v>
      </c>
      <c r="O141" s="19" t="s">
        <v>35</v>
      </c>
      <c r="P141" s="11" t="s">
        <v>36</v>
      </c>
      <c r="Q141" s="20">
        <v>30</v>
      </c>
      <c r="R141" s="31" t="s">
        <v>502</v>
      </c>
      <c r="S141" s="21" t="s">
        <v>107</v>
      </c>
      <c r="T141" s="22"/>
      <c r="U141" s="15"/>
      <c r="V141" s="22"/>
      <c r="W141" s="22"/>
      <c r="X141" s="22"/>
      <c r="Y141" s="22"/>
      <c r="Z141" s="22"/>
      <c r="AA141" s="22"/>
    </row>
    <row r="142" s="3" customFormat="1" ht="28" spans="1:28">
      <c r="A142" s="11">
        <f>IF(H142="","",COUNTA($H$4:H142))</f>
        <v>139</v>
      </c>
      <c r="B142" s="11">
        <f t="shared" si="2"/>
        <v>22</v>
      </c>
      <c r="C142" s="11" t="s">
        <v>435</v>
      </c>
      <c r="D142" s="11" t="s">
        <v>503</v>
      </c>
      <c r="E142" s="11" t="s">
        <v>504</v>
      </c>
      <c r="F142" s="18" t="s">
        <v>504</v>
      </c>
      <c r="G142" s="11" t="s">
        <v>27</v>
      </c>
      <c r="H142" s="11" t="s">
        <v>58</v>
      </c>
      <c r="I142" s="11" t="s">
        <v>29</v>
      </c>
      <c r="J142" s="11" t="s">
        <v>52</v>
      </c>
      <c r="K142" s="11" t="s">
        <v>53</v>
      </c>
      <c r="L142" s="11" t="s">
        <v>54</v>
      </c>
      <c r="M142" s="19" t="s">
        <v>210</v>
      </c>
      <c r="N142" s="11" t="s">
        <v>34</v>
      </c>
      <c r="O142" s="19" t="s">
        <v>35</v>
      </c>
      <c r="P142" s="11" t="s">
        <v>70</v>
      </c>
      <c r="Q142" s="20">
        <v>9</v>
      </c>
      <c r="R142" s="21" t="s">
        <v>505</v>
      </c>
      <c r="S142" s="21" t="s">
        <v>63</v>
      </c>
      <c r="T142" s="22"/>
      <c r="U142" s="15"/>
      <c r="V142" s="22"/>
      <c r="W142" s="22"/>
      <c r="X142" s="22"/>
      <c r="Y142" s="22"/>
      <c r="Z142" s="22"/>
      <c r="AA142" s="22"/>
    </row>
    <row r="143" s="3" customFormat="1" ht="28" spans="1:28">
      <c r="A143" s="11">
        <f>IF(H143="","",COUNTA($H$4:H143))</f>
        <v>140</v>
      </c>
      <c r="B143" s="11">
        <f t="shared" si="2"/>
        <v>23</v>
      </c>
      <c r="C143" s="11" t="s">
        <v>435</v>
      </c>
      <c r="D143" s="11" t="s">
        <v>503</v>
      </c>
      <c r="E143" s="11" t="s">
        <v>506</v>
      </c>
      <c r="F143" s="18" t="s">
        <v>506</v>
      </c>
      <c r="G143" s="11" t="s">
        <v>27</v>
      </c>
      <c r="H143" s="11" t="s">
        <v>58</v>
      </c>
      <c r="I143" s="11" t="s">
        <v>29</v>
      </c>
      <c r="J143" s="24" t="s">
        <v>347</v>
      </c>
      <c r="K143" s="11" t="s">
        <v>53</v>
      </c>
      <c r="L143" s="11" t="s">
        <v>54</v>
      </c>
      <c r="M143" s="19" t="s">
        <v>33</v>
      </c>
      <c r="N143" s="24" t="s">
        <v>34</v>
      </c>
      <c r="O143" s="19" t="s">
        <v>35</v>
      </c>
      <c r="P143" s="11" t="s">
        <v>70</v>
      </c>
      <c r="Q143" s="20">
        <v>15</v>
      </c>
      <c r="R143" s="21" t="s">
        <v>507</v>
      </c>
      <c r="S143" s="21" t="s">
        <v>63</v>
      </c>
      <c r="T143" s="22"/>
      <c r="U143" s="15"/>
      <c r="V143" s="22"/>
      <c r="W143" s="22"/>
      <c r="X143" s="22"/>
      <c r="Y143" s="22"/>
      <c r="Z143" s="22"/>
      <c r="AA143" s="22"/>
    </row>
    <row r="144" s="3" customFormat="1" ht="28" spans="1:28">
      <c r="A144" s="11">
        <f>IF(H144="","",COUNTA($H$4:H144))</f>
        <v>141</v>
      </c>
      <c r="B144" s="11">
        <f t="shared" si="2"/>
        <v>24</v>
      </c>
      <c r="C144" s="11" t="s">
        <v>435</v>
      </c>
      <c r="D144" s="11" t="s">
        <v>508</v>
      </c>
      <c r="E144" s="11" t="s">
        <v>509</v>
      </c>
      <c r="F144" s="18" t="s">
        <v>509</v>
      </c>
      <c r="G144" s="11" t="s">
        <v>27</v>
      </c>
      <c r="H144" s="11" t="s">
        <v>58</v>
      </c>
      <c r="I144" s="11" t="s">
        <v>29</v>
      </c>
      <c r="J144" s="11" t="s">
        <v>30</v>
      </c>
      <c r="K144" s="11" t="s">
        <v>53</v>
      </c>
      <c r="L144" s="11" t="s">
        <v>54</v>
      </c>
      <c r="M144" s="19" t="s">
        <v>210</v>
      </c>
      <c r="N144" s="11" t="s">
        <v>34</v>
      </c>
      <c r="O144" s="19" t="s">
        <v>35</v>
      </c>
      <c r="P144" s="11" t="s">
        <v>70</v>
      </c>
      <c r="Q144" s="20">
        <v>30</v>
      </c>
      <c r="R144" s="21" t="s">
        <v>510</v>
      </c>
      <c r="S144" s="21" t="s">
        <v>98</v>
      </c>
      <c r="T144" s="22"/>
      <c r="U144" s="15"/>
      <c r="V144" s="22" t="s">
        <v>99</v>
      </c>
      <c r="W144" s="22" t="s">
        <v>511</v>
      </c>
      <c r="X144" s="22">
        <v>30</v>
      </c>
      <c r="Y144" s="22">
        <v>9</v>
      </c>
      <c r="Z144" s="22" t="s">
        <v>118</v>
      </c>
      <c r="AA144" s="22"/>
    </row>
    <row r="145" s="3" customFormat="1" ht="28" spans="1:28">
      <c r="A145" s="11">
        <f>IF(H145="","",COUNTA($H$4:H145))</f>
        <v>142</v>
      </c>
      <c r="B145" s="11">
        <f t="shared" si="2"/>
        <v>25</v>
      </c>
      <c r="C145" s="11" t="s">
        <v>435</v>
      </c>
      <c r="D145" s="11" t="s">
        <v>465</v>
      </c>
      <c r="E145" s="11" t="s">
        <v>512</v>
      </c>
      <c r="F145" s="18" t="s">
        <v>512</v>
      </c>
      <c r="G145" s="11" t="s">
        <v>27</v>
      </c>
      <c r="H145" s="11" t="s">
        <v>58</v>
      </c>
      <c r="I145" s="11" t="s">
        <v>110</v>
      </c>
      <c r="J145" s="11" t="s">
        <v>347</v>
      </c>
      <c r="K145" s="11" t="s">
        <v>53</v>
      </c>
      <c r="L145" s="11" t="s">
        <v>54</v>
      </c>
      <c r="M145" s="19" t="s">
        <v>33</v>
      </c>
      <c r="N145" s="11" t="s">
        <v>34</v>
      </c>
      <c r="O145" s="19" t="s">
        <v>35</v>
      </c>
      <c r="P145" s="11" t="s">
        <v>70</v>
      </c>
      <c r="Q145" s="20">
        <v>30</v>
      </c>
      <c r="R145" s="21" t="s">
        <v>513</v>
      </c>
      <c r="S145" s="21" t="s">
        <v>98</v>
      </c>
      <c r="T145" s="22"/>
      <c r="U145" s="15"/>
      <c r="V145" s="22" t="s">
        <v>99</v>
      </c>
      <c r="W145" s="22" t="s">
        <v>514</v>
      </c>
      <c r="X145" s="22">
        <v>30</v>
      </c>
      <c r="Y145" s="22">
        <v>21</v>
      </c>
      <c r="Z145" s="22" t="s">
        <v>118</v>
      </c>
      <c r="AA145" s="22"/>
    </row>
    <row r="146" s="3" customFormat="1" ht="28" spans="1:28">
      <c r="A146" s="11">
        <f>IF(H146="","",COUNTA($H$4:H146))</f>
        <v>143</v>
      </c>
      <c r="B146" s="11">
        <f t="shared" si="2"/>
        <v>26</v>
      </c>
      <c r="C146" s="11" t="s">
        <v>435</v>
      </c>
      <c r="D146" s="11" t="s">
        <v>465</v>
      </c>
      <c r="E146" s="11" t="s">
        <v>515</v>
      </c>
      <c r="F146" s="18" t="s">
        <v>515</v>
      </c>
      <c r="G146" s="11" t="s">
        <v>27</v>
      </c>
      <c r="H146" s="11" t="s">
        <v>58</v>
      </c>
      <c r="I146" s="11" t="s">
        <v>110</v>
      </c>
      <c r="J146" s="11" t="s">
        <v>30</v>
      </c>
      <c r="K146" s="11" t="s">
        <v>53</v>
      </c>
      <c r="L146" s="11" t="s">
        <v>54</v>
      </c>
      <c r="M146" s="19" t="s">
        <v>33</v>
      </c>
      <c r="N146" s="11" t="s">
        <v>34</v>
      </c>
      <c r="O146" s="19" t="s">
        <v>35</v>
      </c>
      <c r="P146" s="11" t="s">
        <v>36</v>
      </c>
      <c r="Q146" s="20">
        <v>30</v>
      </c>
      <c r="R146" s="21" t="s">
        <v>516</v>
      </c>
      <c r="S146" s="21" t="s">
        <v>107</v>
      </c>
      <c r="T146" s="22"/>
      <c r="U146" s="15"/>
      <c r="V146" s="22"/>
      <c r="W146" s="22"/>
      <c r="X146" s="22"/>
      <c r="Y146" s="22"/>
      <c r="Z146" s="22"/>
      <c r="AA146" s="22"/>
    </row>
    <row r="147" s="3" customFormat="1" ht="28" spans="1:28">
      <c r="A147" s="11">
        <f>IF(H147="","",COUNTA($H$4:H147))</f>
        <v>144</v>
      </c>
      <c r="B147" s="11">
        <f t="shared" si="2"/>
        <v>27</v>
      </c>
      <c r="C147" s="11" t="s">
        <v>435</v>
      </c>
      <c r="D147" s="11" t="s">
        <v>461</v>
      </c>
      <c r="E147" s="11" t="s">
        <v>517</v>
      </c>
      <c r="F147" s="18" t="s">
        <v>517</v>
      </c>
      <c r="G147" s="11" t="s">
        <v>27</v>
      </c>
      <c r="H147" s="11" t="s">
        <v>58</v>
      </c>
      <c r="I147" s="11" t="s">
        <v>110</v>
      </c>
      <c r="J147" s="11" t="s">
        <v>347</v>
      </c>
      <c r="K147" s="11" t="s">
        <v>53</v>
      </c>
      <c r="L147" s="11" t="s">
        <v>54</v>
      </c>
      <c r="M147" s="19" t="s">
        <v>33</v>
      </c>
      <c r="N147" s="11" t="s">
        <v>34</v>
      </c>
      <c r="O147" s="19" t="s">
        <v>35</v>
      </c>
      <c r="P147" s="11" t="s">
        <v>36</v>
      </c>
      <c r="Q147" s="20">
        <v>30</v>
      </c>
      <c r="R147" s="31" t="s">
        <v>518</v>
      </c>
      <c r="S147" s="21" t="s">
        <v>98</v>
      </c>
      <c r="T147" s="22"/>
      <c r="U147" s="15"/>
      <c r="V147" s="22" t="s">
        <v>99</v>
      </c>
      <c r="W147" s="22" t="s">
        <v>519</v>
      </c>
      <c r="X147" s="22">
        <v>30</v>
      </c>
      <c r="Y147" s="22">
        <v>21</v>
      </c>
      <c r="Z147" s="22" t="s">
        <v>118</v>
      </c>
      <c r="AA147" s="22"/>
    </row>
    <row r="148" s="3" customFormat="1" ht="28" spans="1:28">
      <c r="A148" s="11">
        <f>IF(H148="","",COUNTA($H$4:H148))</f>
        <v>145</v>
      </c>
      <c r="B148" s="11">
        <f t="shared" si="2"/>
        <v>28</v>
      </c>
      <c r="C148" s="11" t="s">
        <v>435</v>
      </c>
      <c r="D148" s="11" t="s">
        <v>461</v>
      </c>
      <c r="E148" s="11" t="s">
        <v>520</v>
      </c>
      <c r="F148" s="18" t="s">
        <v>520</v>
      </c>
      <c r="G148" s="11" t="s">
        <v>27</v>
      </c>
      <c r="H148" s="11" t="s">
        <v>58</v>
      </c>
      <c r="I148" s="11" t="s">
        <v>29</v>
      </c>
      <c r="J148" s="11" t="s">
        <v>30</v>
      </c>
      <c r="K148" s="11" t="s">
        <v>53</v>
      </c>
      <c r="L148" s="11" t="s">
        <v>54</v>
      </c>
      <c r="M148" s="19" t="s">
        <v>33</v>
      </c>
      <c r="N148" s="11" t="s">
        <v>34</v>
      </c>
      <c r="O148" s="19" t="s">
        <v>35</v>
      </c>
      <c r="P148" s="11" t="s">
        <v>36</v>
      </c>
      <c r="Q148" s="20">
        <v>30</v>
      </c>
      <c r="R148" s="31" t="s">
        <v>521</v>
      </c>
      <c r="S148" s="21" t="s">
        <v>98</v>
      </c>
      <c r="T148" s="22"/>
      <c r="U148" s="15"/>
      <c r="V148" s="22" t="s">
        <v>99</v>
      </c>
      <c r="W148" s="22" t="s">
        <v>522</v>
      </c>
      <c r="X148" s="22">
        <v>30</v>
      </c>
      <c r="Y148" s="22">
        <v>15</v>
      </c>
      <c r="Z148" s="22" t="s">
        <v>118</v>
      </c>
      <c r="AA148" s="22"/>
    </row>
    <row r="149" s="3" customFormat="1" ht="28" spans="1:28">
      <c r="A149" s="11">
        <f>IF(H149="","",COUNTA($H$4:H149))</f>
        <v>146</v>
      </c>
      <c r="B149" s="11">
        <f t="shared" si="2"/>
        <v>29</v>
      </c>
      <c r="C149" s="11" t="s">
        <v>435</v>
      </c>
      <c r="D149" s="11" t="s">
        <v>461</v>
      </c>
      <c r="E149" s="11" t="s">
        <v>523</v>
      </c>
      <c r="F149" s="35" t="s">
        <v>524</v>
      </c>
      <c r="G149" s="11" t="s">
        <v>27</v>
      </c>
      <c r="H149" s="11" t="s">
        <v>58</v>
      </c>
      <c r="I149" s="11" t="s">
        <v>29</v>
      </c>
      <c r="J149" s="11" t="s">
        <v>30</v>
      </c>
      <c r="K149" s="11" t="s">
        <v>53</v>
      </c>
      <c r="L149" s="11" t="s">
        <v>54</v>
      </c>
      <c r="M149" s="19" t="s">
        <v>33</v>
      </c>
      <c r="N149" s="11" t="s">
        <v>34</v>
      </c>
      <c r="O149" s="19" t="s">
        <v>35</v>
      </c>
      <c r="P149" s="11" t="s">
        <v>36</v>
      </c>
      <c r="Q149" s="20">
        <v>30</v>
      </c>
      <c r="R149" s="31" t="s">
        <v>525</v>
      </c>
      <c r="S149" s="21" t="s">
        <v>107</v>
      </c>
      <c r="T149" s="22"/>
      <c r="U149" s="15"/>
      <c r="V149" s="22"/>
      <c r="W149" s="22"/>
      <c r="X149" s="22"/>
      <c r="Y149" s="22"/>
      <c r="Z149" s="22"/>
      <c r="AA149" s="22"/>
    </row>
    <row r="150" s="3" customFormat="1" ht="28" spans="1:28">
      <c r="A150" s="11">
        <f>IF(H150="","",COUNTA($H$4:H150))</f>
        <v>147</v>
      </c>
      <c r="B150" s="11">
        <f t="shared" si="2"/>
        <v>30</v>
      </c>
      <c r="C150" s="11" t="s">
        <v>435</v>
      </c>
      <c r="D150" s="11" t="s">
        <v>461</v>
      </c>
      <c r="E150" s="11" t="s">
        <v>526</v>
      </c>
      <c r="F150" s="18" t="s">
        <v>526</v>
      </c>
      <c r="G150" s="11" t="s">
        <v>27</v>
      </c>
      <c r="H150" s="11" t="s">
        <v>28</v>
      </c>
      <c r="I150" s="11" t="s">
        <v>29</v>
      </c>
      <c r="J150" s="11" t="s">
        <v>30</v>
      </c>
      <c r="K150" s="11" t="s">
        <v>53</v>
      </c>
      <c r="L150" s="11" t="s">
        <v>54</v>
      </c>
      <c r="M150" s="19" t="s">
        <v>33</v>
      </c>
      <c r="N150" s="11" t="s">
        <v>34</v>
      </c>
      <c r="O150" s="19" t="s">
        <v>35</v>
      </c>
      <c r="P150" s="11" t="s">
        <v>36</v>
      </c>
      <c r="Q150" s="20">
        <v>30</v>
      </c>
      <c r="R150" s="31" t="s">
        <v>527</v>
      </c>
      <c r="S150" s="32" t="s">
        <v>244</v>
      </c>
      <c r="T150" s="25" t="s">
        <v>528</v>
      </c>
      <c r="U150" s="26">
        <v>47110</v>
      </c>
      <c r="V150" s="22"/>
      <c r="W150" s="22"/>
      <c r="X150" s="22"/>
      <c r="Y150" s="22"/>
      <c r="Z150" s="22"/>
      <c r="AA150" s="22"/>
      <c r="AB150" s="33" t="s">
        <v>291</v>
      </c>
    </row>
    <row r="151" s="3" customFormat="1" ht="28" spans="1:28">
      <c r="A151" s="11">
        <f>IF(H151="","",COUNTA($H$4:H151))</f>
        <v>148</v>
      </c>
      <c r="B151" s="11">
        <f t="shared" si="2"/>
        <v>31</v>
      </c>
      <c r="C151" s="11" t="s">
        <v>435</v>
      </c>
      <c r="D151" s="11" t="s">
        <v>436</v>
      </c>
      <c r="E151" s="11" t="s">
        <v>529</v>
      </c>
      <c r="F151" s="18" t="s">
        <v>529</v>
      </c>
      <c r="G151" s="11" t="s">
        <v>27</v>
      </c>
      <c r="H151" s="11" t="s">
        <v>58</v>
      </c>
      <c r="I151" s="11" t="s">
        <v>29</v>
      </c>
      <c r="J151" s="11" t="s">
        <v>30</v>
      </c>
      <c r="K151" s="11" t="s">
        <v>53</v>
      </c>
      <c r="L151" s="11" t="s">
        <v>54</v>
      </c>
      <c r="M151" s="19" t="s">
        <v>33</v>
      </c>
      <c r="N151" s="11" t="s">
        <v>34</v>
      </c>
      <c r="O151" s="19" t="s">
        <v>35</v>
      </c>
      <c r="P151" s="11" t="s">
        <v>70</v>
      </c>
      <c r="Q151" s="20">
        <v>30</v>
      </c>
      <c r="R151" s="21" t="s">
        <v>530</v>
      </c>
      <c r="S151" s="21" t="s">
        <v>98</v>
      </c>
      <c r="T151" s="22"/>
      <c r="U151" s="15"/>
      <c r="V151" s="22" t="s">
        <v>99</v>
      </c>
      <c r="W151" s="22" t="s">
        <v>531</v>
      </c>
      <c r="X151" s="22">
        <v>30</v>
      </c>
      <c r="Y151" s="22">
        <v>21</v>
      </c>
      <c r="Z151" s="22" t="s">
        <v>118</v>
      </c>
      <c r="AA151" s="22"/>
    </row>
    <row r="152" s="3" customFormat="1" ht="28" spans="1:28">
      <c r="A152" s="11">
        <f>IF(H152="","",COUNTA($H$4:H152))</f>
        <v>149</v>
      </c>
      <c r="B152" s="11">
        <f t="shared" si="2"/>
        <v>32</v>
      </c>
      <c r="C152" s="11" t="s">
        <v>435</v>
      </c>
      <c r="D152" s="11" t="s">
        <v>503</v>
      </c>
      <c r="E152" s="11" t="s">
        <v>532</v>
      </c>
      <c r="F152" s="18" t="s">
        <v>532</v>
      </c>
      <c r="G152" s="11" t="s">
        <v>27</v>
      </c>
      <c r="H152" s="11" t="s">
        <v>58</v>
      </c>
      <c r="I152" s="11" t="s">
        <v>29</v>
      </c>
      <c r="J152" s="11" t="s">
        <v>30</v>
      </c>
      <c r="K152" s="11" t="s">
        <v>53</v>
      </c>
      <c r="L152" s="11" t="s">
        <v>54</v>
      </c>
      <c r="M152" s="19" t="s">
        <v>210</v>
      </c>
      <c r="N152" s="11" t="s">
        <v>34</v>
      </c>
      <c r="O152" s="19" t="s">
        <v>35</v>
      </c>
      <c r="P152" s="11" t="s">
        <v>70</v>
      </c>
      <c r="Q152" s="20">
        <v>21</v>
      </c>
      <c r="R152" s="21" t="s">
        <v>533</v>
      </c>
      <c r="S152" s="21" t="s">
        <v>63</v>
      </c>
      <c r="T152" s="22"/>
      <c r="U152" s="15"/>
      <c r="V152" s="22"/>
      <c r="W152" s="22"/>
      <c r="X152" s="22"/>
      <c r="Y152" s="22"/>
      <c r="Z152" s="22"/>
      <c r="AA152" s="22"/>
    </row>
    <row r="153" s="3" customFormat="1" ht="28" spans="1:28">
      <c r="A153" s="11">
        <f>IF(H153="","",COUNTA($H$4:H153))</f>
        <v>150</v>
      </c>
      <c r="B153" s="11">
        <f t="shared" si="2"/>
        <v>33</v>
      </c>
      <c r="C153" s="11" t="s">
        <v>435</v>
      </c>
      <c r="D153" s="11" t="s">
        <v>461</v>
      </c>
      <c r="E153" s="11" t="s">
        <v>534</v>
      </c>
      <c r="F153" s="18" t="s">
        <v>534</v>
      </c>
      <c r="G153" s="11" t="s">
        <v>27</v>
      </c>
      <c r="H153" s="11" t="s">
        <v>58</v>
      </c>
      <c r="I153" s="11" t="s">
        <v>29</v>
      </c>
      <c r="J153" s="11" t="s">
        <v>30</v>
      </c>
      <c r="K153" s="11" t="s">
        <v>53</v>
      </c>
      <c r="L153" s="11" t="s">
        <v>54</v>
      </c>
      <c r="M153" s="19" t="s">
        <v>33</v>
      </c>
      <c r="N153" s="11" t="s">
        <v>34</v>
      </c>
      <c r="O153" s="19" t="s">
        <v>35</v>
      </c>
      <c r="P153" s="11" t="s">
        <v>36</v>
      </c>
      <c r="Q153" s="20">
        <v>30</v>
      </c>
      <c r="R153" s="31" t="s">
        <v>535</v>
      </c>
      <c r="S153" s="21" t="s">
        <v>107</v>
      </c>
      <c r="T153" s="22"/>
      <c r="U153" s="15"/>
      <c r="V153" s="22"/>
      <c r="W153" s="22"/>
      <c r="X153" s="22"/>
      <c r="Y153" s="22"/>
      <c r="Z153" s="22"/>
      <c r="AA153" s="22"/>
    </row>
    <row r="154" s="3" customFormat="1" ht="28" spans="1:28">
      <c r="A154" s="11">
        <f>IF(H154="","",COUNTA($H$4:H154))</f>
        <v>151</v>
      </c>
      <c r="B154" s="11">
        <f t="shared" si="2"/>
        <v>34</v>
      </c>
      <c r="C154" s="11" t="s">
        <v>435</v>
      </c>
      <c r="D154" s="11" t="s">
        <v>461</v>
      </c>
      <c r="E154" s="11" t="s">
        <v>536</v>
      </c>
      <c r="F154" s="35" t="s">
        <v>537</v>
      </c>
      <c r="G154" s="11" t="s">
        <v>27</v>
      </c>
      <c r="H154" s="11" t="s">
        <v>58</v>
      </c>
      <c r="I154" s="11" t="s">
        <v>29</v>
      </c>
      <c r="J154" s="11" t="s">
        <v>30</v>
      </c>
      <c r="K154" s="11" t="s">
        <v>53</v>
      </c>
      <c r="L154" s="11" t="s">
        <v>54</v>
      </c>
      <c r="M154" s="19" t="s">
        <v>33</v>
      </c>
      <c r="N154" s="11" t="s">
        <v>34</v>
      </c>
      <c r="O154" s="19" t="s">
        <v>35</v>
      </c>
      <c r="P154" s="11" t="s">
        <v>36</v>
      </c>
      <c r="Q154" s="20">
        <v>30</v>
      </c>
      <c r="R154" s="31" t="s">
        <v>538</v>
      </c>
      <c r="S154" s="21" t="s">
        <v>98</v>
      </c>
      <c r="T154" s="22"/>
      <c r="U154" s="15"/>
      <c r="V154" s="22" t="s">
        <v>99</v>
      </c>
      <c r="W154" s="22" t="s">
        <v>539</v>
      </c>
      <c r="X154" s="22">
        <v>30</v>
      </c>
      <c r="Y154" s="22">
        <v>9</v>
      </c>
      <c r="Z154" s="22" t="s">
        <v>118</v>
      </c>
      <c r="AA154" s="22"/>
    </row>
    <row r="155" s="3" customFormat="1" ht="28" spans="1:28">
      <c r="A155" s="11">
        <f>IF(H155="","",COUNTA($H$4:H155))</f>
        <v>152</v>
      </c>
      <c r="B155" s="11">
        <f t="shared" si="2"/>
        <v>35</v>
      </c>
      <c r="C155" s="11" t="s">
        <v>435</v>
      </c>
      <c r="D155" s="11" t="s">
        <v>436</v>
      </c>
      <c r="E155" s="11" t="s">
        <v>540</v>
      </c>
      <c r="F155" s="18" t="s">
        <v>540</v>
      </c>
      <c r="G155" s="11" t="s">
        <v>27</v>
      </c>
      <c r="H155" s="11" t="s">
        <v>58</v>
      </c>
      <c r="I155" s="11" t="s">
        <v>29</v>
      </c>
      <c r="J155" s="11" t="s">
        <v>30</v>
      </c>
      <c r="K155" s="11" t="s">
        <v>53</v>
      </c>
      <c r="L155" s="11" t="s">
        <v>54</v>
      </c>
      <c r="M155" s="19" t="s">
        <v>33</v>
      </c>
      <c r="N155" s="11" t="s">
        <v>69</v>
      </c>
      <c r="O155" s="19" t="s">
        <v>35</v>
      </c>
      <c r="P155" s="11" t="s">
        <v>70</v>
      </c>
      <c r="Q155" s="20">
        <v>30</v>
      </c>
      <c r="R155" s="31" t="s">
        <v>541</v>
      </c>
      <c r="S155" s="21" t="s">
        <v>98</v>
      </c>
      <c r="T155" s="22"/>
      <c r="U155" s="15"/>
      <c r="V155" s="22" t="s">
        <v>99</v>
      </c>
      <c r="W155" s="22" t="s">
        <v>542</v>
      </c>
      <c r="X155" s="22">
        <v>30</v>
      </c>
      <c r="Y155" s="22">
        <v>21</v>
      </c>
      <c r="Z155" s="22" t="s">
        <v>118</v>
      </c>
      <c r="AA155" s="22"/>
    </row>
    <row r="156" s="3" customFormat="1" ht="28" spans="1:28">
      <c r="A156" s="11">
        <f>IF(H156="","",COUNTA($H$4:H156))</f>
        <v>153</v>
      </c>
      <c r="B156" s="11">
        <f t="shared" si="2"/>
        <v>36</v>
      </c>
      <c r="C156" s="11" t="s">
        <v>435</v>
      </c>
      <c r="D156" s="11" t="s">
        <v>436</v>
      </c>
      <c r="E156" s="11" t="s">
        <v>543</v>
      </c>
      <c r="F156" s="18" t="s">
        <v>543</v>
      </c>
      <c r="G156" s="11" t="s">
        <v>27</v>
      </c>
      <c r="H156" s="11" t="s">
        <v>58</v>
      </c>
      <c r="I156" s="11" t="s">
        <v>29</v>
      </c>
      <c r="J156" s="11" t="s">
        <v>30</v>
      </c>
      <c r="K156" s="11" t="s">
        <v>53</v>
      </c>
      <c r="L156" s="11" t="s">
        <v>54</v>
      </c>
      <c r="M156" s="19" t="s">
        <v>33</v>
      </c>
      <c r="N156" s="11" t="s">
        <v>34</v>
      </c>
      <c r="O156" s="19" t="s">
        <v>35</v>
      </c>
      <c r="P156" s="11" t="s">
        <v>36</v>
      </c>
      <c r="Q156" s="20">
        <v>30</v>
      </c>
      <c r="R156" s="21" t="s">
        <v>544</v>
      </c>
      <c r="S156" s="21" t="s">
        <v>98</v>
      </c>
      <c r="T156" s="22"/>
      <c r="U156" s="15"/>
      <c r="V156" s="22" t="s">
        <v>99</v>
      </c>
      <c r="W156" s="22" t="s">
        <v>545</v>
      </c>
      <c r="X156" s="22">
        <v>30</v>
      </c>
      <c r="Y156" s="22">
        <v>15</v>
      </c>
      <c r="Z156" s="22" t="s">
        <v>118</v>
      </c>
      <c r="AA156" s="22"/>
    </row>
    <row r="157" s="3" customFormat="1" ht="28" spans="1:28">
      <c r="A157" s="11">
        <f>IF(H157="","",COUNTA($H$4:H157))</f>
        <v>154</v>
      </c>
      <c r="B157" s="11">
        <f t="shared" si="2"/>
        <v>37</v>
      </c>
      <c r="C157" s="11" t="s">
        <v>435</v>
      </c>
      <c r="D157" s="11" t="s">
        <v>436</v>
      </c>
      <c r="E157" s="11" t="s">
        <v>546</v>
      </c>
      <c r="F157" s="18" t="s">
        <v>546</v>
      </c>
      <c r="G157" s="11" t="s">
        <v>27</v>
      </c>
      <c r="H157" s="11" t="s">
        <v>58</v>
      </c>
      <c r="I157" s="11" t="s">
        <v>29</v>
      </c>
      <c r="J157" s="11" t="s">
        <v>30</v>
      </c>
      <c r="K157" s="11" t="s">
        <v>53</v>
      </c>
      <c r="L157" s="11" t="s">
        <v>54</v>
      </c>
      <c r="M157" s="19" t="s">
        <v>33</v>
      </c>
      <c r="N157" s="11" t="s">
        <v>34</v>
      </c>
      <c r="O157" s="19" t="s">
        <v>35</v>
      </c>
      <c r="P157" s="11" t="s">
        <v>70</v>
      </c>
      <c r="Q157" s="20">
        <v>30</v>
      </c>
      <c r="R157" s="21" t="s">
        <v>547</v>
      </c>
      <c r="S157" s="21" t="s">
        <v>98</v>
      </c>
      <c r="T157" s="22"/>
      <c r="U157" s="15"/>
      <c r="V157" s="22" t="s">
        <v>99</v>
      </c>
      <c r="W157" s="22" t="s">
        <v>548</v>
      </c>
      <c r="X157" s="22">
        <v>30</v>
      </c>
      <c r="Y157" s="22">
        <v>15</v>
      </c>
      <c r="Z157" s="22" t="s">
        <v>118</v>
      </c>
      <c r="AA157" s="22"/>
    </row>
    <row r="158" s="3" customFormat="1" ht="28" spans="1:28">
      <c r="A158" s="11">
        <f>IF(H158="","",COUNTA($H$4:H158))</f>
        <v>155</v>
      </c>
      <c r="B158" s="11">
        <f t="shared" si="2"/>
        <v>38</v>
      </c>
      <c r="C158" s="11" t="s">
        <v>435</v>
      </c>
      <c r="D158" s="11" t="s">
        <v>436</v>
      </c>
      <c r="E158" s="11" t="s">
        <v>549</v>
      </c>
      <c r="F158" s="18" t="s">
        <v>549</v>
      </c>
      <c r="G158" s="11" t="s">
        <v>27</v>
      </c>
      <c r="H158" s="11" t="s">
        <v>58</v>
      </c>
      <c r="I158" s="11" t="s">
        <v>110</v>
      </c>
      <c r="J158" s="11" t="s">
        <v>30</v>
      </c>
      <c r="K158" s="11" t="s">
        <v>53</v>
      </c>
      <c r="L158" s="11" t="s">
        <v>54</v>
      </c>
      <c r="M158" s="19" t="s">
        <v>33</v>
      </c>
      <c r="N158" s="11" t="s">
        <v>34</v>
      </c>
      <c r="O158" s="19" t="s">
        <v>35</v>
      </c>
      <c r="P158" s="11" t="s">
        <v>70</v>
      </c>
      <c r="Q158" s="20">
        <v>30</v>
      </c>
      <c r="R158" s="21" t="s">
        <v>550</v>
      </c>
      <c r="S158" s="21" t="s">
        <v>107</v>
      </c>
      <c r="T158" s="22"/>
      <c r="U158" s="15"/>
      <c r="V158" s="22"/>
      <c r="W158" s="22"/>
      <c r="X158" s="22"/>
      <c r="Y158" s="22"/>
      <c r="Z158" s="22"/>
      <c r="AA158" s="22"/>
    </row>
    <row r="159" s="3" customFormat="1" ht="28" spans="1:28">
      <c r="A159" s="11">
        <f>IF(H159="","",COUNTA($H$4:H159))</f>
        <v>156</v>
      </c>
      <c r="B159" s="11">
        <f t="shared" si="2"/>
        <v>39</v>
      </c>
      <c r="C159" s="11" t="s">
        <v>435</v>
      </c>
      <c r="D159" s="11" t="s">
        <v>449</v>
      </c>
      <c r="E159" s="11" t="s">
        <v>551</v>
      </c>
      <c r="F159" s="18" t="s">
        <v>551</v>
      </c>
      <c r="G159" s="11" t="s">
        <v>27</v>
      </c>
      <c r="H159" s="11" t="s">
        <v>58</v>
      </c>
      <c r="I159" s="11" t="s">
        <v>110</v>
      </c>
      <c r="J159" s="11" t="s">
        <v>30</v>
      </c>
      <c r="K159" s="11" t="s">
        <v>53</v>
      </c>
      <c r="L159" s="11" t="s">
        <v>54</v>
      </c>
      <c r="M159" s="19" t="s">
        <v>33</v>
      </c>
      <c r="N159" s="11" t="s">
        <v>69</v>
      </c>
      <c r="O159" s="19" t="s">
        <v>35</v>
      </c>
      <c r="P159" s="11" t="s">
        <v>36</v>
      </c>
      <c r="Q159" s="20">
        <v>30</v>
      </c>
      <c r="R159" s="31" t="s">
        <v>552</v>
      </c>
      <c r="S159" s="21" t="s">
        <v>98</v>
      </c>
      <c r="T159" s="22"/>
      <c r="U159" s="15"/>
      <c r="V159" s="22" t="s">
        <v>99</v>
      </c>
      <c r="W159" s="22" t="s">
        <v>553</v>
      </c>
      <c r="X159" s="22">
        <v>30</v>
      </c>
      <c r="Y159" s="22">
        <v>15</v>
      </c>
      <c r="Z159" s="22" t="s">
        <v>118</v>
      </c>
      <c r="AA159" s="22"/>
    </row>
    <row r="160" s="3" customFormat="1" ht="28" spans="1:28">
      <c r="A160" s="11">
        <f>IF(H160="","",COUNTA($H$4:H160))</f>
        <v>157</v>
      </c>
      <c r="B160" s="11">
        <f t="shared" si="2"/>
        <v>40</v>
      </c>
      <c r="C160" s="11" t="s">
        <v>435</v>
      </c>
      <c r="D160" s="11" t="s">
        <v>508</v>
      </c>
      <c r="E160" s="11" t="s">
        <v>554</v>
      </c>
      <c r="F160" s="18" t="s">
        <v>554</v>
      </c>
      <c r="G160" s="11" t="s">
        <v>27</v>
      </c>
      <c r="H160" s="11" t="s">
        <v>58</v>
      </c>
      <c r="I160" s="11" t="s">
        <v>29</v>
      </c>
      <c r="J160" s="11" t="s">
        <v>30</v>
      </c>
      <c r="K160" s="11" t="s">
        <v>53</v>
      </c>
      <c r="L160" s="11" t="s">
        <v>54</v>
      </c>
      <c r="M160" s="19" t="s">
        <v>210</v>
      </c>
      <c r="N160" s="11" t="s">
        <v>34</v>
      </c>
      <c r="O160" s="19" t="s">
        <v>35</v>
      </c>
      <c r="P160" s="11" t="s">
        <v>70</v>
      </c>
      <c r="Q160" s="20">
        <v>30</v>
      </c>
      <c r="R160" s="21" t="s">
        <v>555</v>
      </c>
      <c r="S160" s="21" t="s">
        <v>98</v>
      </c>
      <c r="T160" s="22"/>
      <c r="U160" s="15"/>
      <c r="V160" s="22" t="s">
        <v>99</v>
      </c>
      <c r="W160" s="22" t="s">
        <v>556</v>
      </c>
      <c r="X160" s="22">
        <v>30</v>
      </c>
      <c r="Y160" s="22">
        <v>15</v>
      </c>
      <c r="Z160" s="22" t="s">
        <v>118</v>
      </c>
      <c r="AA160" s="22"/>
    </row>
    <row r="161" s="3" customFormat="1" ht="28" spans="1:27">
      <c r="A161" s="11">
        <f>IF(H161="","",COUNTA($H$4:H161))</f>
        <v>158</v>
      </c>
      <c r="B161" s="11">
        <f t="shared" si="2"/>
        <v>41</v>
      </c>
      <c r="C161" s="11" t="s">
        <v>435</v>
      </c>
      <c r="D161" s="11" t="s">
        <v>503</v>
      </c>
      <c r="E161" s="11" t="s">
        <v>557</v>
      </c>
      <c r="F161" s="18" t="s">
        <v>557</v>
      </c>
      <c r="G161" s="11" t="s">
        <v>27</v>
      </c>
      <c r="H161" s="11" t="s">
        <v>58</v>
      </c>
      <c r="I161" s="11" t="s">
        <v>29</v>
      </c>
      <c r="J161" s="11" t="s">
        <v>52</v>
      </c>
      <c r="K161" s="11" t="s">
        <v>53</v>
      </c>
      <c r="L161" s="11" t="s">
        <v>54</v>
      </c>
      <c r="M161" s="19" t="s">
        <v>210</v>
      </c>
      <c r="N161" s="11" t="s">
        <v>34</v>
      </c>
      <c r="O161" s="19" t="s">
        <v>35</v>
      </c>
      <c r="P161" s="11" t="s">
        <v>70</v>
      </c>
      <c r="Q161" s="20">
        <v>9</v>
      </c>
      <c r="R161" s="21" t="s">
        <v>558</v>
      </c>
      <c r="S161" s="21" t="s">
        <v>56</v>
      </c>
      <c r="T161" s="22"/>
      <c r="U161" s="15"/>
      <c r="V161" s="22"/>
      <c r="W161" s="22"/>
      <c r="X161" s="22"/>
      <c r="Y161" s="22"/>
      <c r="Z161" s="22"/>
      <c r="AA161" s="22"/>
    </row>
    <row r="162" s="3" customFormat="1" ht="28" spans="1:27">
      <c r="A162" s="11">
        <f>IF(H162="","",COUNTA($H$4:H162))</f>
        <v>159</v>
      </c>
      <c r="B162" s="11">
        <f t="shared" si="2"/>
        <v>1</v>
      </c>
      <c r="C162" s="11" t="s">
        <v>559</v>
      </c>
      <c r="D162" s="11" t="s">
        <v>560</v>
      </c>
      <c r="E162" s="11" t="s">
        <v>561</v>
      </c>
      <c r="F162" s="18" t="s">
        <v>561</v>
      </c>
      <c r="G162" s="11" t="s">
        <v>27</v>
      </c>
      <c r="H162" s="11" t="s">
        <v>28</v>
      </c>
      <c r="I162" s="11" t="s">
        <v>89</v>
      </c>
      <c r="J162" s="11" t="s">
        <v>30</v>
      </c>
      <c r="K162" s="11" t="s">
        <v>53</v>
      </c>
      <c r="L162" s="11" t="s">
        <v>54</v>
      </c>
      <c r="M162" s="19" t="s">
        <v>33</v>
      </c>
      <c r="N162" s="11" t="s">
        <v>34</v>
      </c>
      <c r="O162" s="19" t="s">
        <v>35</v>
      </c>
      <c r="P162" s="11" t="s">
        <v>36</v>
      </c>
      <c r="Q162" s="20">
        <v>45</v>
      </c>
      <c r="R162" s="21" t="s">
        <v>562</v>
      </c>
      <c r="S162" s="21" t="s">
        <v>56</v>
      </c>
      <c r="T162" s="22"/>
      <c r="U162" s="15"/>
      <c r="V162" s="22"/>
      <c r="W162" s="22"/>
      <c r="X162" s="22"/>
      <c r="Y162" s="22"/>
      <c r="Z162" s="22"/>
      <c r="AA162" s="22"/>
    </row>
    <row r="163" s="3" customFormat="1" ht="28" spans="1:27">
      <c r="A163" s="11">
        <f>IF(H163="","",COUNTA($H$4:H163))</f>
        <v>160</v>
      </c>
      <c r="B163" s="11">
        <f t="shared" si="2"/>
        <v>2</v>
      </c>
      <c r="C163" s="11" t="s">
        <v>559</v>
      </c>
      <c r="D163" s="11" t="s">
        <v>560</v>
      </c>
      <c r="E163" s="11" t="s">
        <v>563</v>
      </c>
      <c r="F163" s="18" t="s">
        <v>563</v>
      </c>
      <c r="G163" s="11" t="s">
        <v>27</v>
      </c>
      <c r="H163" s="11" t="s">
        <v>28</v>
      </c>
      <c r="I163" s="11" t="s">
        <v>89</v>
      </c>
      <c r="J163" s="11" t="s">
        <v>30</v>
      </c>
      <c r="K163" s="11" t="s">
        <v>53</v>
      </c>
      <c r="L163" s="11" t="s">
        <v>32</v>
      </c>
      <c r="M163" s="19" t="s">
        <v>33</v>
      </c>
      <c r="N163" s="11" t="s">
        <v>34</v>
      </c>
      <c r="O163" s="19" t="s">
        <v>35</v>
      </c>
      <c r="P163" s="11" t="s">
        <v>36</v>
      </c>
      <c r="Q163" s="20">
        <v>30</v>
      </c>
      <c r="R163" s="21" t="s">
        <v>564</v>
      </c>
      <c r="S163" s="21" t="s">
        <v>56</v>
      </c>
      <c r="T163" s="22"/>
      <c r="U163" s="15"/>
      <c r="V163" s="22"/>
      <c r="W163" s="22"/>
      <c r="X163" s="22"/>
      <c r="Y163" s="22"/>
      <c r="Z163" s="22"/>
      <c r="AA163" s="22"/>
    </row>
    <row r="164" s="3" customFormat="1" ht="28" spans="1:27">
      <c r="A164" s="11">
        <f>IF(H164="","",COUNTA($H$4:H164))</f>
        <v>161</v>
      </c>
      <c r="B164" s="11">
        <f t="shared" si="2"/>
        <v>3</v>
      </c>
      <c r="C164" s="11" t="s">
        <v>559</v>
      </c>
      <c r="D164" s="11" t="s">
        <v>565</v>
      </c>
      <c r="E164" s="11" t="s">
        <v>566</v>
      </c>
      <c r="F164" s="18" t="s">
        <v>566</v>
      </c>
      <c r="G164" s="11" t="s">
        <v>27</v>
      </c>
      <c r="H164" s="11" t="s">
        <v>28</v>
      </c>
      <c r="I164" s="11" t="s">
        <v>89</v>
      </c>
      <c r="J164" s="11" t="s">
        <v>52</v>
      </c>
      <c r="K164" s="11" t="s">
        <v>31</v>
      </c>
      <c r="L164" s="11" t="s">
        <v>32</v>
      </c>
      <c r="M164" s="19" t="s">
        <v>33</v>
      </c>
      <c r="N164" s="11" t="s">
        <v>34</v>
      </c>
      <c r="O164" s="19" t="s">
        <v>35</v>
      </c>
      <c r="P164" s="11" t="s">
        <v>70</v>
      </c>
      <c r="Q164" s="20">
        <v>30</v>
      </c>
      <c r="R164" s="21" t="s">
        <v>567</v>
      </c>
      <c r="S164" s="21" t="s">
        <v>38</v>
      </c>
      <c r="T164" s="22" t="s">
        <v>568</v>
      </c>
      <c r="U164" s="15">
        <v>46829</v>
      </c>
      <c r="V164" s="22"/>
      <c r="W164" s="22"/>
      <c r="X164" s="22"/>
      <c r="Y164" s="22"/>
      <c r="Z164" s="22"/>
      <c r="AA164" s="22"/>
    </row>
    <row r="165" s="3" customFormat="1" ht="28" spans="1:27">
      <c r="A165" s="11">
        <f>IF(H165="","",COUNTA($H$4:H165))</f>
        <v>162</v>
      </c>
      <c r="B165" s="11">
        <f t="shared" si="2"/>
        <v>4</v>
      </c>
      <c r="C165" s="11" t="s">
        <v>559</v>
      </c>
      <c r="D165" s="11" t="s">
        <v>565</v>
      </c>
      <c r="E165" s="11" t="s">
        <v>569</v>
      </c>
      <c r="F165" s="18" t="s">
        <v>569</v>
      </c>
      <c r="G165" s="11" t="s">
        <v>27</v>
      </c>
      <c r="H165" s="11" t="s">
        <v>28</v>
      </c>
      <c r="I165" s="11" t="s">
        <v>89</v>
      </c>
      <c r="J165" s="11" t="s">
        <v>52</v>
      </c>
      <c r="K165" s="11" t="s">
        <v>31</v>
      </c>
      <c r="L165" s="11" t="s">
        <v>32</v>
      </c>
      <c r="M165" s="19" t="s">
        <v>33</v>
      </c>
      <c r="N165" s="11" t="s">
        <v>34</v>
      </c>
      <c r="O165" s="19" t="s">
        <v>35</v>
      </c>
      <c r="P165" s="11" t="s">
        <v>36</v>
      </c>
      <c r="Q165" s="20">
        <v>30</v>
      </c>
      <c r="R165" s="21" t="s">
        <v>570</v>
      </c>
      <c r="S165" s="21" t="s">
        <v>38</v>
      </c>
      <c r="T165" s="22" t="s">
        <v>571</v>
      </c>
      <c r="U165" s="15">
        <v>46709</v>
      </c>
      <c r="V165" s="22"/>
      <c r="W165" s="22"/>
      <c r="X165" s="22"/>
      <c r="Y165" s="22"/>
      <c r="Z165" s="22"/>
      <c r="AA165" s="22"/>
    </row>
    <row r="166" s="3" customFormat="1" ht="28" spans="1:27">
      <c r="A166" s="11">
        <f>IF(H166="","",COUNTA($H$4:H166))</f>
        <v>163</v>
      </c>
      <c r="B166" s="11">
        <f t="shared" si="2"/>
        <v>5</v>
      </c>
      <c r="C166" s="11" t="s">
        <v>559</v>
      </c>
      <c r="D166" s="11" t="s">
        <v>565</v>
      </c>
      <c r="E166" s="11" t="s">
        <v>572</v>
      </c>
      <c r="F166" s="18" t="s">
        <v>572</v>
      </c>
      <c r="G166" s="11" t="s">
        <v>27</v>
      </c>
      <c r="H166" s="11" t="s">
        <v>28</v>
      </c>
      <c r="I166" s="11" t="s">
        <v>89</v>
      </c>
      <c r="J166" s="11" t="s">
        <v>52</v>
      </c>
      <c r="K166" s="11" t="s">
        <v>31</v>
      </c>
      <c r="L166" s="11" t="s">
        <v>138</v>
      </c>
      <c r="M166" s="19" t="s">
        <v>33</v>
      </c>
      <c r="N166" s="11" t="s">
        <v>34</v>
      </c>
      <c r="O166" s="19" t="s">
        <v>35</v>
      </c>
      <c r="P166" s="11" t="s">
        <v>36</v>
      </c>
      <c r="Q166" s="20">
        <v>30</v>
      </c>
      <c r="R166" s="21" t="s">
        <v>573</v>
      </c>
      <c r="S166" s="21" t="s">
        <v>38</v>
      </c>
      <c r="T166" s="22" t="s">
        <v>574</v>
      </c>
      <c r="U166" s="15">
        <v>46451</v>
      </c>
      <c r="V166" s="22"/>
      <c r="W166" s="22"/>
      <c r="X166" s="22"/>
      <c r="Y166" s="22"/>
      <c r="Z166" s="22"/>
      <c r="AA166" s="22"/>
    </row>
    <row r="167" s="3" customFormat="1" ht="28" spans="1:27">
      <c r="A167" s="11">
        <f>IF(H167="","",COUNTA($H$4:H167))</f>
        <v>164</v>
      </c>
      <c r="B167" s="11">
        <f t="shared" si="2"/>
        <v>6</v>
      </c>
      <c r="C167" s="11" t="s">
        <v>559</v>
      </c>
      <c r="D167" s="11" t="s">
        <v>565</v>
      </c>
      <c r="E167" s="11" t="s">
        <v>575</v>
      </c>
      <c r="F167" s="18" t="s">
        <v>575</v>
      </c>
      <c r="G167" s="11" t="s">
        <v>27</v>
      </c>
      <c r="H167" s="11" t="s">
        <v>28</v>
      </c>
      <c r="I167" s="11" t="s">
        <v>89</v>
      </c>
      <c r="J167" s="11" t="s">
        <v>30</v>
      </c>
      <c r="K167" s="11" t="s">
        <v>31</v>
      </c>
      <c r="L167" s="11" t="s">
        <v>32</v>
      </c>
      <c r="M167" s="19" t="s">
        <v>33</v>
      </c>
      <c r="N167" s="11" t="s">
        <v>34</v>
      </c>
      <c r="O167" s="19" t="s">
        <v>35</v>
      </c>
      <c r="P167" s="11" t="s">
        <v>36</v>
      </c>
      <c r="Q167" s="20">
        <v>12</v>
      </c>
      <c r="R167" s="21" t="s">
        <v>576</v>
      </c>
      <c r="S167" s="21" t="s">
        <v>38</v>
      </c>
      <c r="T167" s="22" t="s">
        <v>577</v>
      </c>
      <c r="U167" s="15">
        <v>46478</v>
      </c>
      <c r="V167" s="22"/>
      <c r="W167" s="22"/>
      <c r="X167" s="22"/>
      <c r="Y167" s="22"/>
      <c r="Z167" s="22"/>
      <c r="AA167" s="22"/>
    </row>
    <row r="168" s="3" customFormat="1" ht="28" spans="1:27">
      <c r="A168" s="11">
        <f>IF(H168="","",COUNTA($H$4:H168))</f>
        <v>165</v>
      </c>
      <c r="B168" s="11">
        <f t="shared" si="2"/>
        <v>7</v>
      </c>
      <c r="C168" s="11" t="s">
        <v>559</v>
      </c>
      <c r="D168" s="11" t="s">
        <v>565</v>
      </c>
      <c r="E168" s="11" t="s">
        <v>578</v>
      </c>
      <c r="F168" s="18" t="s">
        <v>578</v>
      </c>
      <c r="G168" s="11" t="s">
        <v>27</v>
      </c>
      <c r="H168" s="11" t="s">
        <v>58</v>
      </c>
      <c r="I168" s="11" t="s">
        <v>89</v>
      </c>
      <c r="J168" s="11" t="s">
        <v>30</v>
      </c>
      <c r="K168" s="11" t="s">
        <v>53</v>
      </c>
      <c r="L168" s="11" t="s">
        <v>32</v>
      </c>
      <c r="M168" s="19" t="s">
        <v>33</v>
      </c>
      <c r="N168" s="11" t="s">
        <v>34</v>
      </c>
      <c r="O168" s="19" t="s">
        <v>35</v>
      </c>
      <c r="P168" s="11" t="s">
        <v>36</v>
      </c>
      <c r="Q168" s="20">
        <v>30</v>
      </c>
      <c r="R168" s="21" t="s">
        <v>579</v>
      </c>
      <c r="S168" s="21" t="s">
        <v>98</v>
      </c>
      <c r="T168" s="22"/>
      <c r="U168" s="15"/>
      <c r="V168" s="22" t="s">
        <v>99</v>
      </c>
      <c r="W168" s="22" t="s">
        <v>580</v>
      </c>
      <c r="X168" s="22">
        <v>30</v>
      </c>
      <c r="Y168" s="22">
        <v>15</v>
      </c>
      <c r="Z168" s="22" t="s">
        <v>118</v>
      </c>
      <c r="AA168" s="22"/>
    </row>
    <row r="169" s="3" customFormat="1" ht="28" spans="1:27">
      <c r="A169" s="11">
        <f>IF(H169="","",COUNTA($H$4:H169))</f>
        <v>166</v>
      </c>
      <c r="B169" s="11">
        <f t="shared" si="2"/>
        <v>8</v>
      </c>
      <c r="C169" s="11" t="s">
        <v>559</v>
      </c>
      <c r="D169" s="11" t="s">
        <v>581</v>
      </c>
      <c r="E169" s="11" t="s">
        <v>582</v>
      </c>
      <c r="F169" s="18" t="s">
        <v>582</v>
      </c>
      <c r="G169" s="11" t="s">
        <v>27</v>
      </c>
      <c r="H169" s="11" t="s">
        <v>58</v>
      </c>
      <c r="I169" s="11" t="s">
        <v>89</v>
      </c>
      <c r="J169" s="11" t="s">
        <v>52</v>
      </c>
      <c r="K169" s="11" t="s">
        <v>53</v>
      </c>
      <c r="L169" s="11" t="s">
        <v>32</v>
      </c>
      <c r="M169" s="19" t="s">
        <v>33</v>
      </c>
      <c r="N169" s="11" t="s">
        <v>34</v>
      </c>
      <c r="O169" s="19" t="s">
        <v>35</v>
      </c>
      <c r="P169" s="11" t="s">
        <v>36</v>
      </c>
      <c r="Q169" s="20">
        <v>30</v>
      </c>
      <c r="R169" s="21" t="s">
        <v>583</v>
      </c>
      <c r="S169" s="21" t="s">
        <v>98</v>
      </c>
      <c r="T169" s="22"/>
      <c r="U169" s="15"/>
      <c r="V169" s="22" t="s">
        <v>99</v>
      </c>
      <c r="W169" s="22" t="s">
        <v>584</v>
      </c>
      <c r="X169" s="22">
        <v>30</v>
      </c>
      <c r="Y169" s="22">
        <v>9</v>
      </c>
      <c r="Z169" s="22" t="s">
        <v>118</v>
      </c>
      <c r="AA169" s="22"/>
    </row>
    <row r="170" s="3" customFormat="1" ht="28" spans="1:27">
      <c r="A170" s="11">
        <f>IF(H170="","",COUNTA($H$4:H170))</f>
        <v>167</v>
      </c>
      <c r="B170" s="11">
        <f t="shared" si="2"/>
        <v>9</v>
      </c>
      <c r="C170" s="11" t="s">
        <v>559</v>
      </c>
      <c r="D170" s="11" t="s">
        <v>565</v>
      </c>
      <c r="E170" s="11" t="s">
        <v>585</v>
      </c>
      <c r="F170" s="18" t="s">
        <v>585</v>
      </c>
      <c r="G170" s="11" t="s">
        <v>27</v>
      </c>
      <c r="H170" s="11" t="s">
        <v>58</v>
      </c>
      <c r="I170" s="11" t="s">
        <v>89</v>
      </c>
      <c r="J170" s="11" t="s">
        <v>30</v>
      </c>
      <c r="K170" s="11" t="s">
        <v>53</v>
      </c>
      <c r="L170" s="11" t="s">
        <v>32</v>
      </c>
      <c r="M170" s="19" t="s">
        <v>33</v>
      </c>
      <c r="N170" s="11" t="s">
        <v>34</v>
      </c>
      <c r="O170" s="19" t="s">
        <v>35</v>
      </c>
      <c r="P170" s="11" t="s">
        <v>36</v>
      </c>
      <c r="Q170" s="20">
        <v>30</v>
      </c>
      <c r="R170" s="21" t="s">
        <v>586</v>
      </c>
      <c r="S170" s="21" t="s">
        <v>98</v>
      </c>
      <c r="T170" s="22"/>
      <c r="U170" s="15"/>
      <c r="V170" s="22" t="s">
        <v>99</v>
      </c>
      <c r="W170" s="22" t="s">
        <v>587</v>
      </c>
      <c r="X170" s="22">
        <v>30</v>
      </c>
      <c r="Y170" s="22">
        <v>21</v>
      </c>
      <c r="Z170" s="22" t="s">
        <v>118</v>
      </c>
      <c r="AA170" s="22"/>
    </row>
    <row r="171" s="3" customFormat="1" ht="28" spans="1:27">
      <c r="A171" s="11">
        <f>IF(H171="","",COUNTA($H$4:H171))</f>
        <v>168</v>
      </c>
      <c r="B171" s="11">
        <f t="shared" si="2"/>
        <v>10</v>
      </c>
      <c r="C171" s="11" t="s">
        <v>559</v>
      </c>
      <c r="D171" s="11" t="s">
        <v>565</v>
      </c>
      <c r="E171" s="11" t="s">
        <v>588</v>
      </c>
      <c r="F171" s="18" t="s">
        <v>588</v>
      </c>
      <c r="G171" s="11" t="s">
        <v>27</v>
      </c>
      <c r="H171" s="11" t="s">
        <v>58</v>
      </c>
      <c r="I171" s="11" t="s">
        <v>89</v>
      </c>
      <c r="J171" s="11" t="s">
        <v>90</v>
      </c>
      <c r="K171" s="11" t="s">
        <v>53</v>
      </c>
      <c r="L171" s="11" t="s">
        <v>32</v>
      </c>
      <c r="M171" s="19" t="s">
        <v>210</v>
      </c>
      <c r="N171" s="11" t="s">
        <v>34</v>
      </c>
      <c r="O171" s="19" t="s">
        <v>35</v>
      </c>
      <c r="P171" s="11" t="s">
        <v>36</v>
      </c>
      <c r="Q171" s="20">
        <v>15</v>
      </c>
      <c r="R171" s="21" t="s">
        <v>589</v>
      </c>
      <c r="S171" s="21" t="s">
        <v>56</v>
      </c>
      <c r="T171" s="22"/>
      <c r="U171" s="15"/>
      <c r="V171" s="22"/>
      <c r="W171" s="22"/>
      <c r="X171" s="22"/>
      <c r="Y171" s="22"/>
      <c r="Z171" s="22"/>
      <c r="AA171" s="22"/>
    </row>
    <row r="172" s="3" customFormat="1" ht="28" spans="1:27">
      <c r="A172" s="11">
        <f>IF(H172="","",COUNTA($H$4:H172))</f>
        <v>169</v>
      </c>
      <c r="B172" s="11">
        <f t="shared" si="2"/>
        <v>1</v>
      </c>
      <c r="C172" s="11" t="s">
        <v>590</v>
      </c>
      <c r="D172" s="11" t="s">
        <v>591</v>
      </c>
      <c r="E172" s="11" t="s">
        <v>592</v>
      </c>
      <c r="F172" s="18" t="s">
        <v>592</v>
      </c>
      <c r="G172" s="11" t="s">
        <v>27</v>
      </c>
      <c r="H172" s="11" t="s">
        <v>28</v>
      </c>
      <c r="I172" s="11" t="s">
        <v>110</v>
      </c>
      <c r="J172" s="11" t="s">
        <v>30</v>
      </c>
      <c r="K172" s="11" t="s">
        <v>31</v>
      </c>
      <c r="L172" s="11" t="s">
        <v>32</v>
      </c>
      <c r="M172" s="19" t="s">
        <v>33</v>
      </c>
      <c r="N172" s="11" t="s">
        <v>69</v>
      </c>
      <c r="O172" s="19" t="s">
        <v>35</v>
      </c>
      <c r="P172" s="11" t="s">
        <v>70</v>
      </c>
      <c r="Q172" s="20">
        <v>45</v>
      </c>
      <c r="R172" s="21" t="s">
        <v>593</v>
      </c>
      <c r="S172" s="21" t="s">
        <v>38</v>
      </c>
      <c r="T172" s="22" t="s">
        <v>594</v>
      </c>
      <c r="U172" s="15">
        <v>46841</v>
      </c>
      <c r="V172" s="22"/>
      <c r="W172" s="22"/>
      <c r="X172" s="22"/>
      <c r="Y172" s="22"/>
      <c r="Z172" s="22"/>
      <c r="AA172" s="22"/>
    </row>
    <row r="173" s="3" customFormat="1" ht="28" spans="1:27">
      <c r="A173" s="11">
        <f>IF(H173="","",COUNTA($H$4:H173))</f>
        <v>170</v>
      </c>
      <c r="B173" s="11">
        <f t="shared" si="2"/>
        <v>2</v>
      </c>
      <c r="C173" s="11" t="s">
        <v>590</v>
      </c>
      <c r="D173" s="11" t="s">
        <v>595</v>
      </c>
      <c r="E173" s="11" t="s">
        <v>596</v>
      </c>
      <c r="F173" s="18" t="s">
        <v>596</v>
      </c>
      <c r="G173" s="11" t="s">
        <v>27</v>
      </c>
      <c r="H173" s="11" t="s">
        <v>58</v>
      </c>
      <c r="I173" s="11" t="s">
        <v>110</v>
      </c>
      <c r="J173" s="11" t="s">
        <v>30</v>
      </c>
      <c r="K173" s="11" t="s">
        <v>53</v>
      </c>
      <c r="L173" s="11" t="s">
        <v>54</v>
      </c>
      <c r="M173" s="19" t="s">
        <v>33</v>
      </c>
      <c r="N173" s="11" t="s">
        <v>34</v>
      </c>
      <c r="O173" s="19" t="s">
        <v>35</v>
      </c>
      <c r="P173" s="11" t="s">
        <v>36</v>
      </c>
      <c r="Q173" s="20">
        <v>30</v>
      </c>
      <c r="R173" s="21" t="s">
        <v>597</v>
      </c>
      <c r="S173" s="21" t="s">
        <v>107</v>
      </c>
      <c r="T173" s="22"/>
      <c r="U173" s="15"/>
      <c r="V173" s="22"/>
      <c r="W173" s="22"/>
      <c r="X173" s="22"/>
      <c r="Y173" s="22"/>
      <c r="Z173" s="22"/>
      <c r="AA173" s="22"/>
    </row>
    <row r="174" s="3" customFormat="1" ht="28" spans="1:27">
      <c r="A174" s="11">
        <f>IF(H174="","",COUNTA($H$4:H174))</f>
        <v>171</v>
      </c>
      <c r="B174" s="11">
        <f t="shared" si="2"/>
        <v>1</v>
      </c>
      <c r="C174" s="11" t="s">
        <v>598</v>
      </c>
      <c r="D174" s="11" t="s">
        <v>599</v>
      </c>
      <c r="E174" s="11" t="s">
        <v>600</v>
      </c>
      <c r="F174" s="23" t="s">
        <v>600</v>
      </c>
      <c r="G174" s="11" t="s">
        <v>67</v>
      </c>
      <c r="H174" s="11" t="s">
        <v>28</v>
      </c>
      <c r="I174" s="11" t="s">
        <v>110</v>
      </c>
      <c r="J174" s="11" t="s">
        <v>30</v>
      </c>
      <c r="K174" s="24" t="s">
        <v>31</v>
      </c>
      <c r="L174" s="11" t="s">
        <v>54</v>
      </c>
      <c r="M174" s="19" t="s">
        <v>33</v>
      </c>
      <c r="N174" s="11" t="s">
        <v>206</v>
      </c>
      <c r="O174" s="19" t="s">
        <v>48</v>
      </c>
      <c r="P174" s="11" t="s">
        <v>70</v>
      </c>
      <c r="Q174" s="20">
        <v>60</v>
      </c>
      <c r="R174" s="21" t="s">
        <v>601</v>
      </c>
      <c r="S174" s="21" t="s">
        <v>38</v>
      </c>
      <c r="T174" s="22" t="s">
        <v>602</v>
      </c>
      <c r="U174" s="26">
        <v>46653</v>
      </c>
      <c r="V174" s="22"/>
      <c r="W174" s="22"/>
      <c r="X174" s="22"/>
      <c r="Y174" s="22"/>
      <c r="Z174" s="22"/>
      <c r="AA174" s="22"/>
    </row>
    <row r="175" s="3" customFormat="1" ht="28" spans="1:27">
      <c r="A175" s="11">
        <f>IF(H175="","",COUNTA($H$4:H175))</f>
        <v>172</v>
      </c>
      <c r="B175" s="11">
        <f t="shared" si="2"/>
        <v>2</v>
      </c>
      <c r="C175" s="11" t="s">
        <v>598</v>
      </c>
      <c r="D175" s="11" t="s">
        <v>603</v>
      </c>
      <c r="E175" s="11" t="s">
        <v>604</v>
      </c>
      <c r="F175" s="18" t="s">
        <v>604</v>
      </c>
      <c r="G175" s="11" t="s">
        <v>27</v>
      </c>
      <c r="H175" s="11" t="s">
        <v>58</v>
      </c>
      <c r="I175" s="11" t="s">
        <v>89</v>
      </c>
      <c r="J175" s="11" t="s">
        <v>30</v>
      </c>
      <c r="K175" s="11" t="s">
        <v>53</v>
      </c>
      <c r="L175" s="11" t="s">
        <v>32</v>
      </c>
      <c r="M175" s="19" t="s">
        <v>33</v>
      </c>
      <c r="N175" s="11" t="s">
        <v>197</v>
      </c>
      <c r="O175" s="19" t="s">
        <v>35</v>
      </c>
      <c r="P175" s="11" t="s">
        <v>36</v>
      </c>
      <c r="Q175" s="20">
        <v>15</v>
      </c>
      <c r="R175" s="21" t="s">
        <v>605</v>
      </c>
      <c r="S175" s="21" t="s">
        <v>98</v>
      </c>
      <c r="T175" s="22"/>
      <c r="U175" s="15"/>
      <c r="V175" s="21" t="s">
        <v>174</v>
      </c>
      <c r="W175" s="21" t="s">
        <v>606</v>
      </c>
      <c r="X175" s="22">
        <v>15</v>
      </c>
      <c r="Y175" s="22">
        <v>3</v>
      </c>
      <c r="Z175" s="22" t="s">
        <v>176</v>
      </c>
      <c r="AA175" s="22"/>
    </row>
    <row r="176" s="3" customFormat="1" ht="28" spans="1:27">
      <c r="A176" s="11">
        <f>IF(H176="","",COUNTA($H$4:H176))</f>
        <v>173</v>
      </c>
      <c r="B176" s="11">
        <f t="shared" si="2"/>
        <v>3</v>
      </c>
      <c r="C176" s="11" t="s">
        <v>598</v>
      </c>
      <c r="D176" s="11" t="s">
        <v>607</v>
      </c>
      <c r="E176" s="11" t="s">
        <v>608</v>
      </c>
      <c r="F176" s="18" t="s">
        <v>608</v>
      </c>
      <c r="G176" s="11" t="s">
        <v>27</v>
      </c>
      <c r="H176" s="11" t="s">
        <v>58</v>
      </c>
      <c r="I176" s="11" t="s">
        <v>110</v>
      </c>
      <c r="J176" s="11" t="s">
        <v>30</v>
      </c>
      <c r="K176" s="11" t="s">
        <v>53</v>
      </c>
      <c r="L176" s="11" t="s">
        <v>54</v>
      </c>
      <c r="M176" s="19" t="s">
        <v>33</v>
      </c>
      <c r="N176" s="11" t="s">
        <v>197</v>
      </c>
      <c r="O176" s="19" t="s">
        <v>35</v>
      </c>
      <c r="P176" s="11" t="s">
        <v>36</v>
      </c>
      <c r="Q176" s="20">
        <v>30</v>
      </c>
      <c r="R176" s="21" t="s">
        <v>609</v>
      </c>
      <c r="S176" s="21" t="s">
        <v>98</v>
      </c>
      <c r="T176" s="22"/>
      <c r="U176" s="15"/>
      <c r="V176" s="22" t="s">
        <v>99</v>
      </c>
      <c r="W176" s="22" t="s">
        <v>610</v>
      </c>
      <c r="X176" s="22">
        <v>30</v>
      </c>
      <c r="Y176" s="22">
        <v>21</v>
      </c>
      <c r="Z176" s="22" t="s">
        <v>118</v>
      </c>
      <c r="AA176" s="22"/>
    </row>
    <row r="177" s="3" customFormat="1" ht="28" spans="1:27">
      <c r="A177" s="11">
        <f>IF(H177="","",COUNTA($H$4:H177))</f>
        <v>174</v>
      </c>
      <c r="B177" s="11">
        <f t="shared" si="2"/>
        <v>4</v>
      </c>
      <c r="C177" s="11" t="s">
        <v>598</v>
      </c>
      <c r="D177" s="11" t="s">
        <v>599</v>
      </c>
      <c r="E177" s="11" t="s">
        <v>611</v>
      </c>
      <c r="F177" s="18" t="s">
        <v>611</v>
      </c>
      <c r="G177" s="11" t="s">
        <v>27</v>
      </c>
      <c r="H177" s="11" t="s">
        <v>58</v>
      </c>
      <c r="I177" s="11" t="s">
        <v>110</v>
      </c>
      <c r="J177" s="11" t="s">
        <v>30</v>
      </c>
      <c r="K177" s="11" t="s">
        <v>53</v>
      </c>
      <c r="L177" s="11" t="s">
        <v>54</v>
      </c>
      <c r="M177" s="19" t="s">
        <v>33</v>
      </c>
      <c r="N177" s="11" t="s">
        <v>197</v>
      </c>
      <c r="O177" s="19" t="s">
        <v>48</v>
      </c>
      <c r="P177" s="11" t="s">
        <v>36</v>
      </c>
      <c r="Q177" s="20">
        <v>30</v>
      </c>
      <c r="R177" s="31" t="s">
        <v>612</v>
      </c>
      <c r="S177" s="21" t="s">
        <v>98</v>
      </c>
      <c r="T177" s="22"/>
      <c r="U177" s="15"/>
      <c r="V177" s="22" t="s">
        <v>99</v>
      </c>
      <c r="W177" s="22" t="s">
        <v>613</v>
      </c>
      <c r="X177" s="22">
        <v>30</v>
      </c>
      <c r="Y177" s="22">
        <v>15</v>
      </c>
      <c r="Z177" s="22" t="s">
        <v>118</v>
      </c>
      <c r="AA177" s="22"/>
    </row>
  </sheetData>
  <autoFilter xmlns:etc="http://www.wps.cn/officeDocument/2017/etCustomData" ref="A3:XFD177" etc:filterBottomFollowUsedRange="0">
    <extLst/>
  </autoFilter>
  <mergeCells count="5">
    <mergeCell ref="A1:C1"/>
    <mergeCell ref="A2:R2"/>
    <mergeCell ref="T2:AA2"/>
    <mergeCell ref="T3:U3"/>
    <mergeCell ref="V3:AA3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陈毅飞</dc:creator>
  <cp:lastModifiedBy>李勇</cp:lastModifiedBy>
  <dcterms:created xsi:type="dcterms:W3CDTF">2026-01-05T00:59:00Z</dcterms:created>
  <dcterms:modified xsi:type="dcterms:W3CDTF">2026-06-25T08:13:04Z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7916C64827574E8B984011381989DE8A_13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